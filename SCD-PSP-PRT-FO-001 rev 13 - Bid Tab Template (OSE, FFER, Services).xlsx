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L:\5. BUSINESS PROCESS\PROCUREMENT SYSTEMS\Adhoc\Working Files\Bianca\10 - QMS\04 - Procurement\Bid Tabulation\Ops\"/>
    </mc:Choice>
  </mc:AlternateContent>
  <xr:revisionPtr revIDLastSave="0" documentId="11_61E9A269E8DA377BBDAD5AAA9E885470885DD2B7" xr6:coauthVersionLast="47" xr6:coauthVersionMax="47" xr10:uidLastSave="{00000000-0000-0000-0000-000000000000}"/>
  <bookViews>
    <workbookView xWindow="930" yWindow="0" windowWidth="28800" windowHeight="12060" xr2:uid="{00000000-000D-0000-FFFF-FFFF00000000}"/>
  </bookViews>
  <sheets>
    <sheet name="ProcOps Template" sheetId="5" r:id="rId1"/>
  </sheets>
  <definedNames>
    <definedName name="_xlnm._FilterDatabase" localSheetId="0" hidden="1">'ProcOps Template'!$A$8:$AR$57</definedName>
    <definedName name="_xlnm.Print_Area" localSheetId="0">'ProcOps Template'!$A$1:$AB$48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0" i="5" l="1"/>
  <c r="K13" i="5" l="1"/>
  <c r="L13" i="5" s="1"/>
  <c r="K12" i="5"/>
  <c r="L12" i="5" s="1"/>
  <c r="K11" i="5"/>
  <c r="L11" i="5" s="1"/>
  <c r="J13" i="5"/>
  <c r="J12" i="5"/>
  <c r="J11" i="5"/>
  <c r="J10" i="5"/>
  <c r="K10" i="5"/>
  <c r="L10" i="5" s="1"/>
  <c r="I15" i="5" l="1"/>
  <c r="K15" i="5"/>
  <c r="W13" i="5"/>
  <c r="W12" i="5"/>
  <c r="W11" i="5"/>
  <c r="W10" i="5"/>
  <c r="S13" i="5"/>
  <c r="S12" i="5"/>
  <c r="S11" i="5"/>
  <c r="S10" i="5"/>
  <c r="S36" i="5"/>
  <c r="M35" i="5"/>
  <c r="AP9" i="5"/>
  <c r="T11" i="5" l="1"/>
  <c r="T10" i="5"/>
  <c r="X10" i="5" l="1"/>
  <c r="AA10" i="5"/>
  <c r="AR10" i="5" s="1"/>
  <c r="S41" i="5"/>
  <c r="S40" i="5"/>
  <c r="M40" i="5"/>
  <c r="S39" i="5"/>
  <c r="M39" i="5"/>
  <c r="S38" i="5"/>
  <c r="M38" i="5"/>
  <c r="S37" i="5"/>
  <c r="M37" i="5"/>
  <c r="M36" i="5"/>
  <c r="H15" i="5"/>
  <c r="AM13" i="5"/>
  <c r="AU13" i="5" s="1"/>
  <c r="AL13" i="5"/>
  <c r="AI13" i="5"/>
  <c r="AT13" i="5" s="1"/>
  <c r="AH13" i="5"/>
  <c r="AE13" i="5"/>
  <c r="AF13" i="5" s="1"/>
  <c r="AD13" i="5"/>
  <c r="AA13" i="5"/>
  <c r="AB13" i="5" s="1"/>
  <c r="Z13" i="5"/>
  <c r="AQ13" i="5"/>
  <c r="V13" i="5"/>
  <c r="AP13" i="5"/>
  <c r="R13" i="5"/>
  <c r="AM12" i="5"/>
  <c r="AU12" i="5" s="1"/>
  <c r="AL12" i="5"/>
  <c r="AI12" i="5"/>
  <c r="AT12" i="5" s="1"/>
  <c r="AH12" i="5"/>
  <c r="AE12" i="5"/>
  <c r="AF12" i="5" s="1"/>
  <c r="AD12" i="5"/>
  <c r="AA12" i="5"/>
  <c r="AR12" i="5" s="1"/>
  <c r="Z12" i="5"/>
  <c r="X12" i="5"/>
  <c r="V12" i="5"/>
  <c r="T12" i="5"/>
  <c r="R12" i="5"/>
  <c r="AM11" i="5"/>
  <c r="AU11" i="5" s="1"/>
  <c r="AL11" i="5"/>
  <c r="AI11" i="5"/>
  <c r="AJ11" i="5" s="1"/>
  <c r="AH11" i="5"/>
  <c r="AE11" i="5"/>
  <c r="AS11" i="5" s="1"/>
  <c r="AD11" i="5"/>
  <c r="AA11" i="5"/>
  <c r="AR11" i="5" s="1"/>
  <c r="Z11" i="5"/>
  <c r="X11" i="5"/>
  <c r="V11" i="5"/>
  <c r="R11" i="5"/>
  <c r="AM10" i="5"/>
  <c r="AU10" i="5" s="1"/>
  <c r="AL10" i="5"/>
  <c r="AI10" i="5"/>
  <c r="AJ10" i="5" s="1"/>
  <c r="AH10" i="5"/>
  <c r="AE10" i="5"/>
  <c r="AF10" i="5" s="1"/>
  <c r="AD10" i="5"/>
  <c r="AQ10" i="5"/>
  <c r="V10" i="5"/>
  <c r="AP10" i="5"/>
  <c r="R10" i="5"/>
  <c r="AU9" i="5"/>
  <c r="AT9" i="5"/>
  <c r="AS9" i="5"/>
  <c r="AR9" i="5"/>
  <c r="AQ9" i="5"/>
  <c r="Q15" i="5" l="1"/>
  <c r="AC15" i="5"/>
  <c r="Y15" i="5"/>
  <c r="AK15" i="5"/>
  <c r="U15" i="5"/>
  <c r="AG15" i="5"/>
  <c r="AQ12" i="5"/>
  <c r="AR13" i="5"/>
  <c r="AP11" i="5"/>
  <c r="AS13" i="5"/>
  <c r="AT11" i="5"/>
  <c r="AT10" i="5"/>
  <c r="AB10" i="5"/>
  <c r="AJ13" i="5"/>
  <c r="T13" i="5"/>
  <c r="AS10" i="5"/>
  <c r="AP12" i="5"/>
  <c r="AN11" i="5"/>
  <c r="AB12" i="5"/>
  <c r="AJ12" i="5"/>
  <c r="AN10" i="5"/>
  <c r="AQ11" i="5"/>
  <c r="AS12" i="5"/>
  <c r="X13" i="5"/>
  <c r="AN13" i="5"/>
  <c r="AB11" i="5"/>
  <c r="AF11" i="5"/>
  <c r="AE15" i="5" s="1"/>
  <c r="AN12" i="5"/>
  <c r="AG17" i="5" l="1"/>
  <c r="AG19" i="5"/>
  <c r="AG20" i="5" s="1"/>
  <c r="U17" i="5"/>
  <c r="U19" i="5"/>
  <c r="U20" i="5" s="1"/>
  <c r="AE19" i="5"/>
  <c r="AE20" i="5" s="1"/>
  <c r="AE17" i="5"/>
  <c r="AC19" i="5"/>
  <c r="AC20" i="5" s="1"/>
  <c r="AC17" i="5"/>
  <c r="Q19" i="5"/>
  <c r="Q20" i="5" s="1"/>
  <c r="Q17" i="5"/>
  <c r="Y17" i="5"/>
  <c r="Y19" i="5"/>
  <c r="Y20" i="5" s="1"/>
  <c r="T39" i="5"/>
  <c r="W39" i="5" s="1"/>
  <c r="AK19" i="5"/>
  <c r="AK20" i="5" s="1"/>
  <c r="AK17" i="5"/>
  <c r="W15" i="5"/>
  <c r="AI15" i="5"/>
  <c r="AM15" i="5"/>
  <c r="M10" i="5"/>
  <c r="S15" i="5"/>
  <c r="AA15" i="5"/>
  <c r="M13" i="5"/>
  <c r="N13" i="5" s="1"/>
  <c r="M12" i="5"/>
  <c r="N12" i="5" s="1"/>
  <c r="M11" i="5"/>
  <c r="W19" i="5" l="1"/>
  <c r="W20" i="5" s="1"/>
  <c r="W17" i="5"/>
  <c r="AI17" i="5"/>
  <c r="AI19" i="5"/>
  <c r="AI20" i="5" s="1"/>
  <c r="AA19" i="5"/>
  <c r="AA20" i="5" s="1"/>
  <c r="AA17" i="5"/>
  <c r="AR17" i="5" s="1"/>
  <c r="T36" i="5"/>
  <c r="W36" i="5" s="1"/>
  <c r="S19" i="5"/>
  <c r="S20" i="5" s="1"/>
  <c r="S17" i="5"/>
  <c r="AP17" i="5" s="1"/>
  <c r="AM19" i="5"/>
  <c r="AM20" i="5" s="1"/>
  <c r="T41" i="5"/>
  <c r="W41" i="5" s="1"/>
  <c r="T40" i="5"/>
  <c r="W40" i="5" s="1"/>
  <c r="T37" i="5"/>
  <c r="W37" i="5" s="1"/>
  <c r="T38" i="5"/>
  <c r="W38" i="5" s="1"/>
  <c r="N10" i="5"/>
  <c r="O10" i="5"/>
  <c r="N11" i="5"/>
  <c r="O11" i="5"/>
  <c r="AQ17" i="5"/>
  <c r="O13" i="5"/>
  <c r="O12" i="5"/>
  <c r="AS17" i="5"/>
  <c r="AM17" i="5"/>
  <c r="M15" i="5" l="1"/>
  <c r="N40" i="5"/>
  <c r="N38" i="5"/>
  <c r="N37" i="5"/>
  <c r="O39" i="5"/>
  <c r="P39" i="5" s="1"/>
  <c r="O36" i="5"/>
  <c r="P36" i="5" s="1"/>
  <c r="N36" i="5"/>
  <c r="O40" i="5"/>
  <c r="P40" i="5" s="1"/>
  <c r="AU17" i="5"/>
  <c r="AT17" i="5"/>
  <c r="O35" i="5"/>
  <c r="P35" i="5" s="1"/>
  <c r="N35" i="5"/>
  <c r="N39" i="5"/>
  <c r="O38" i="5"/>
  <c r="P38" i="5" s="1"/>
  <c r="O37" i="5"/>
  <c r="P37" i="5" s="1"/>
  <c r="M17" i="5" l="1"/>
  <c r="T35" i="5"/>
  <c r="W35" i="5" s="1"/>
  <c r="M19" i="5"/>
  <c r="M20" i="5" s="1"/>
  <c r="P41" i="5"/>
  <c r="X35" i="5"/>
  <c r="AV17" i="5"/>
  <c r="AW17" i="5" s="1"/>
  <c r="B34" i="5" s="1"/>
  <c r="N41" i="5"/>
  <c r="O4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Lois Paras</author>
    <author>Mary Ann Arao</author>
  </authors>
  <commentList>
    <comment ref="I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Bianca Lois Paras:</t>
        </r>
        <r>
          <rPr>
            <sz val="9"/>
            <color indexed="81"/>
            <rFont val="Tahoma"/>
            <family val="2"/>
          </rPr>
          <t xml:space="preserve">
To manually change the unit cost's currency, as applicable</t>
        </r>
      </text>
    </comment>
    <comment ref="W4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Mary Ann Arao:</t>
        </r>
        <r>
          <rPr>
            <sz val="9"/>
            <color indexed="81"/>
            <rFont val="Tahoma"/>
            <family val="2"/>
          </rPr>
          <t xml:space="preserve">
(To refer to latest Bid Tab Approval Matrix)</t>
        </r>
      </text>
    </comment>
  </commentList>
</comments>
</file>

<file path=xl/sharedStrings.xml><?xml version="1.0" encoding="utf-8"?>
<sst xmlns="http://schemas.openxmlformats.org/spreadsheetml/2006/main" count="128" uniqueCount="91">
  <si>
    <t>BID TABULATION TEMPLATE - OS&amp;E, FFE&amp;R, Services</t>
  </si>
  <si>
    <t>PROCUREMENT METHOD</t>
  </si>
  <si>
    <t>AWARD METHOD</t>
  </si>
  <si>
    <t>Document Code</t>
  </si>
  <si>
    <t>SCD-PSP-PRT-FO-001</t>
  </si>
  <si>
    <t xml:space="preserve">Bid Category: </t>
  </si>
  <si>
    <t>SUPPLIER TYPE</t>
  </si>
  <si>
    <t>Revision Number</t>
  </si>
  <si>
    <t>13</t>
  </si>
  <si>
    <t xml:space="preserve">Requesting Department: </t>
  </si>
  <si>
    <t>Effective Date</t>
  </si>
  <si>
    <t xml:space="preserve">Cost Center Code/Name: </t>
  </si>
  <si>
    <t xml:space="preserve">SRF Reference #: </t>
  </si>
  <si>
    <t xml:space="preserve">RINGI Reference #: </t>
  </si>
  <si>
    <t>#</t>
  </si>
  <si>
    <t>RedRock Item Code</t>
  </si>
  <si>
    <t>ITEM NAME AND DESCRIPTION</t>
  </si>
  <si>
    <t>PHOTO
(Optional)</t>
  </si>
  <si>
    <t>Qty</t>
  </si>
  <si>
    <t>UoM</t>
  </si>
  <si>
    <t>Last System Price
(Optional)</t>
  </si>
  <si>
    <t>[ ] Current Spend
[ ] Initial Lowest Compliant Bid</t>
  </si>
  <si>
    <t>Recommended Award 
(Optional, for Split-award)</t>
  </si>
  <si>
    <t>PRICE COMPARISON</t>
  </si>
  <si>
    <t>Supplier 1</t>
  </si>
  <si>
    <t>Supplier 2</t>
  </si>
  <si>
    <t>Supplier 3</t>
  </si>
  <si>
    <t>Supplier 4</t>
  </si>
  <si>
    <t>Supplier 5</t>
  </si>
  <si>
    <t>Supplier 6</t>
  </si>
  <si>
    <t>Unit Cost</t>
  </si>
  <si>
    <t>Extended Cost</t>
  </si>
  <si>
    <t>Converted Unit
Cost (PHP)</t>
  </si>
  <si>
    <t>Extended Cost (PHP)</t>
  </si>
  <si>
    <t xml:space="preserve">Supplier </t>
  </si>
  <si>
    <t>Unit Cost
(Optional)</t>
  </si>
  <si>
    <t>Extended Cost
(Optional)</t>
  </si>
  <si>
    <t xml:space="preserve">Converted Unit  Cost (PHP) </t>
  </si>
  <si>
    <t>Extended Cost
(PHP)</t>
  </si>
  <si>
    <r>
      <t>GRAND TOTAL</t>
    </r>
    <r>
      <rPr>
        <sz val="11"/>
        <rFont val="Arial"/>
        <family val="2"/>
      </rPr>
      <t xml:space="preserve"> (EXCLUSIVE OF VAT)</t>
    </r>
  </si>
  <si>
    <t>CONVERSION RATE:</t>
  </si>
  <si>
    <t>LOGISTICS COST / CARI PREMIUM (as applicable):</t>
  </si>
  <si>
    <t>Final Amount</t>
  </si>
  <si>
    <t xml:space="preserve"> DATE:</t>
  </si>
  <si>
    <t>ACQUISITION COST (Exclusive of  VAT):</t>
  </si>
  <si>
    <r>
      <t>TOTAL PAYABLE TO SUPPLIER</t>
    </r>
    <r>
      <rPr>
        <sz val="12"/>
        <rFont val="Arial"/>
        <family val="2"/>
      </rPr>
      <t xml:space="preserve"> (Inclusive of VAT, as applicable)</t>
    </r>
  </si>
  <si>
    <r>
      <t>TOTAL COST OF ACQUISITION</t>
    </r>
    <r>
      <rPr>
        <sz val="12"/>
        <rFont val="Arial"/>
        <family val="2"/>
      </rPr>
      <t xml:space="preserve"> (for Ringi Amount, as applicable)</t>
    </r>
    <r>
      <rPr>
        <b/>
        <sz val="14"/>
        <rFont val="Arial"/>
        <family val="2"/>
      </rPr>
      <t>:</t>
    </r>
  </si>
  <si>
    <t xml:space="preserve">OVERALL RATING / TECHNICAL EVALUATION : </t>
  </si>
  <si>
    <t xml:space="preserve">REGULATORY COMPLIANCE:
</t>
  </si>
  <si>
    <t>Accredited with _______ (as applicable)</t>
  </si>
  <si>
    <t>TERMS AND CONDITIONS:</t>
  </si>
  <si>
    <t>PRICING VALIDITY:</t>
  </si>
  <si>
    <t>DELIVERY LEAD TIME:</t>
  </si>
  <si>
    <t>PAYMENT TERMS:</t>
  </si>
  <si>
    <t>WARRANTY:</t>
  </si>
  <si>
    <t>INCOTERMS:</t>
  </si>
  <si>
    <t xml:space="preserve">BONDS &amp; INSURANCES: </t>
  </si>
  <si>
    <t>VAT:</t>
  </si>
  <si>
    <t>VAT Inclusive</t>
  </si>
  <si>
    <t>VAT Exclusive</t>
  </si>
  <si>
    <t>Recommendation:</t>
  </si>
  <si>
    <t>Split Award Recommendation</t>
  </si>
  <si>
    <t>Item Count</t>
  </si>
  <si>
    <t>Grand Total (Exclusive of VAT)</t>
  </si>
  <si>
    <r>
      <t xml:space="preserve">Grand Total Awarded
</t>
    </r>
    <r>
      <rPr>
        <b/>
        <sz val="10"/>
        <rFont val="Arial"/>
        <family val="2"/>
      </rPr>
      <t>(VAT Excl / Incl)</t>
    </r>
  </si>
  <si>
    <t>BID SUMMARY</t>
  </si>
  <si>
    <r>
      <t>Price Var (+) from current spend /</t>
    </r>
    <r>
      <rPr>
        <sz val="11"/>
        <color rgb="FFFF0000"/>
        <rFont val="Arial"/>
        <family val="2"/>
      </rPr>
      <t xml:space="preserve"> initial lowest cost</t>
    </r>
  </si>
  <si>
    <t>% Difference</t>
  </si>
  <si>
    <t>Savings</t>
  </si>
  <si>
    <t>Split Award (Optional)</t>
  </si>
  <si>
    <t>Purpose of the Purchase:</t>
  </si>
  <si>
    <t>TOTAL</t>
  </si>
  <si>
    <t>Remarks:</t>
  </si>
  <si>
    <t>Prepared By:</t>
  </si>
  <si>
    <t>Reviewed By:</t>
  </si>
  <si>
    <t>Recommended By:</t>
  </si>
  <si>
    <t>Approved By:</t>
  </si>
  <si>
    <t>(Buyer Name)</t>
  </si>
  <si>
    <t>(Manager Name / Senior Manager Name)</t>
  </si>
  <si>
    <t>(Associate Director Name)</t>
  </si>
  <si>
    <t>Ricardo Aguas Jr.</t>
  </si>
  <si>
    <t>Mitsukazu Nakata</t>
  </si>
  <si>
    <t>(BU Name)</t>
  </si>
  <si>
    <t>(Buyer Position Title)</t>
  </si>
  <si>
    <t xml:space="preserve">Procurement Manager /Sr. Procurement Manager
</t>
  </si>
  <si>
    <t>Associate Director - Procurement</t>
  </si>
  <si>
    <t>Vice President - Supply Chain Division</t>
  </si>
  <si>
    <t>Director and Chief Engineer</t>
  </si>
  <si>
    <t xml:space="preserve">Business Unit Head
</t>
  </si>
  <si>
    <t>Cost Center Owner</t>
  </si>
  <si>
    <t>VAT 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</si>
</sst>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PHP]\ #,##0.00_);\([$PHP]\ #,##0.00\)"/>
    <numFmt numFmtId="165" formatCode="_(* #,##0_);_(* \(#,##0\);_(* &quot;-&quot;??_);_(@_)"/>
    <numFmt numFmtId="166" formatCode="_([$$-409]* #,##0.00_);_([$$-409]* \(#,##0.00\);_([$$-409]* &quot;-&quot;??_);_(@_)"/>
    <numFmt numFmtId="167" formatCode="_([$₱-3409]* #,##0.00_);_([$₱-3409]* \(#,##0.00\);_([$₱-3409]* &quot;-&quot;??_);_(@_)"/>
    <numFmt numFmtId="168" formatCode="0.000000000%"/>
    <numFmt numFmtId="169" formatCode="_-[$$-409]* #,##0.00_ ;_-[$$-409]* \-#,##0.00\ ;_-[$$-409]* &quot;-&quot;??_ ;_-@_ 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u val="double"/>
      <sz val="12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u val="singleAccounting"/>
      <sz val="11"/>
      <name val="Arial"/>
      <family val="2"/>
    </font>
    <font>
      <b/>
      <sz val="11"/>
      <color rgb="FFFF0000"/>
      <name val="Arial"/>
      <family val="2"/>
    </font>
    <font>
      <b/>
      <u val="doubleAccounting"/>
      <sz val="11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u val="doubleAccounting"/>
      <sz val="11"/>
      <color theme="0"/>
      <name val="Arial"/>
      <family val="2"/>
    </font>
    <font>
      <b/>
      <u val="double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811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</cellStyleXfs>
  <cellXfs count="288">
    <xf numFmtId="0" fontId="0" fillId="0" borderId="0" xfId="0"/>
    <xf numFmtId="0" fontId="2" fillId="0" borderId="0" xfId="3" applyFont="1" applyAlignment="1" applyProtection="1">
      <alignment horizontal="left" vertical="center" wrapText="1"/>
      <protection locked="0"/>
    </xf>
    <xf numFmtId="0" fontId="2" fillId="0" borderId="0" xfId="3" applyFont="1" applyProtection="1">
      <protection locked="0"/>
    </xf>
    <xf numFmtId="43" fontId="3" fillId="0" borderId="0" xfId="1" applyFont="1" applyFill="1" applyBorder="1" applyProtection="1">
      <protection locked="0"/>
    </xf>
    <xf numFmtId="43" fontId="3" fillId="0" borderId="0" xfId="1" applyFont="1" applyFill="1" applyBorder="1" applyAlignment="1">
      <alignment wrapText="1"/>
    </xf>
    <xf numFmtId="43" fontId="3" fillId="0" borderId="0" xfId="1" applyFont="1" applyFill="1" applyBorder="1"/>
    <xf numFmtId="0" fontId="3" fillId="0" borderId="0" xfId="3" applyFont="1" applyAlignment="1" applyProtection="1">
      <alignment horizontal="left" vertical="center" wrapText="1"/>
      <protection locked="0"/>
    </xf>
    <xf numFmtId="0" fontId="3" fillId="0" borderId="0" xfId="3" applyFont="1" applyProtection="1">
      <protection locked="0"/>
    </xf>
    <xf numFmtId="43" fontId="3" fillId="0" borderId="0" xfId="1" applyFont="1" applyFill="1" applyBorder="1" applyAlignment="1" applyProtection="1">
      <protection locked="0"/>
    </xf>
    <xf numFmtId="43" fontId="3" fillId="0" borderId="0" xfId="1" applyFont="1" applyFill="1" applyBorder="1" applyAlignment="1" applyProtection="1">
      <alignment horizontal="center"/>
      <protection locked="0"/>
    </xf>
    <xf numFmtId="164" fontId="4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left" vertical="center"/>
    </xf>
    <xf numFmtId="43" fontId="4" fillId="0" borderId="0" xfId="1" applyFont="1" applyFill="1" applyBorder="1" applyAlignment="1">
      <alignment horizontal="right"/>
    </xf>
    <xf numFmtId="43" fontId="4" fillId="0" borderId="0" xfId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3" fillId="0" borderId="0" xfId="1" applyFont="1" applyFill="1" applyBorder="1" applyAlignment="1" applyProtection="1">
      <alignment horizontal="right" vertical="center"/>
      <protection locked="0"/>
    </xf>
    <xf numFmtId="43" fontId="4" fillId="0" borderId="0" xfId="1" applyFont="1" applyFill="1" applyBorder="1" applyAlignment="1" applyProtection="1">
      <alignment horizontal="left"/>
      <protection locked="0"/>
    </xf>
    <xf numFmtId="43" fontId="3" fillId="0" borderId="0" xfId="1" applyFont="1" applyFill="1" applyBorder="1" applyAlignment="1">
      <alignment horizontal="left"/>
    </xf>
    <xf numFmtId="0" fontId="6" fillId="0" borderId="0" xfId="3" applyFont="1" applyAlignment="1" applyProtection="1">
      <alignment horizontal="left"/>
      <protection locked="0"/>
    </xf>
    <xf numFmtId="0" fontId="2" fillId="0" borderId="0" xfId="3" applyFont="1" applyAlignment="1" applyProtection="1">
      <alignment vertical="center"/>
      <protection locked="0"/>
    </xf>
    <xf numFmtId="0" fontId="3" fillId="0" borderId="0" xfId="3" applyFont="1" applyAlignment="1" applyProtection="1">
      <alignment vertical="center"/>
      <protection locked="0"/>
    </xf>
    <xf numFmtId="43" fontId="3" fillId="0" borderId="0" xfId="1" applyFont="1" applyFill="1" applyBorder="1" applyAlignment="1">
      <alignment vertical="center"/>
    </xf>
    <xf numFmtId="0" fontId="2" fillId="0" borderId="0" xfId="0" applyFont="1" applyAlignment="1" applyProtection="1">
      <alignment horizontal="left"/>
      <protection locked="0"/>
    </xf>
    <xf numFmtId="43" fontId="3" fillId="0" borderId="0" xfId="1" applyFont="1" applyFill="1" applyBorder="1" applyAlignment="1">
      <alignment horizontal="center"/>
    </xf>
    <xf numFmtId="0" fontId="6" fillId="0" borderId="0" xfId="3" applyFont="1" applyProtection="1">
      <protection locked="0"/>
    </xf>
    <xf numFmtId="0" fontId="6" fillId="0" borderId="0" xfId="3" applyFont="1" applyAlignment="1" applyProtection="1">
      <alignment horizontal="center" vertical="center"/>
      <protection locked="0"/>
    </xf>
    <xf numFmtId="0" fontId="4" fillId="0" borderId="0" xfId="3" applyFont="1" applyAlignment="1" applyProtection="1">
      <alignment horizontal="right"/>
      <protection locked="0"/>
    </xf>
    <xf numFmtId="165" fontId="3" fillId="0" borderId="1" xfId="1" applyNumberFormat="1" applyFont="1" applyFill="1" applyBorder="1" applyAlignment="1">
      <alignment horizontal="left" vertical="center"/>
    </xf>
    <xf numFmtId="43" fontId="3" fillId="0" borderId="1" xfId="1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vertical="center"/>
    </xf>
    <xf numFmtId="166" fontId="3" fillId="0" borderId="1" xfId="1" applyNumberFormat="1" applyFont="1" applyFill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7" fillId="0" borderId="0" xfId="3" quotePrefix="1" applyFont="1" applyAlignment="1" applyProtection="1">
      <alignment horizontal="left"/>
      <protection locked="0"/>
    </xf>
    <xf numFmtId="0" fontId="2" fillId="0" borderId="0" xfId="3" applyFont="1" applyAlignment="1" applyProtection="1">
      <alignment vertical="top"/>
      <protection locked="0"/>
    </xf>
    <xf numFmtId="43" fontId="3" fillId="0" borderId="0" xfId="1" applyFont="1" applyFill="1" applyBorder="1" applyAlignment="1">
      <alignment horizontal="right" vertical="center"/>
    </xf>
    <xf numFmtId="0" fontId="3" fillId="0" borderId="1" xfId="1" applyNumberFormat="1" applyFont="1" applyFill="1" applyBorder="1" applyAlignment="1">
      <alignment horizontal="left" vertical="center" wrapText="1"/>
    </xf>
    <xf numFmtId="43" fontId="4" fillId="0" borderId="0" xfId="1" applyFont="1" applyFill="1" applyBorder="1" applyAlignment="1" applyProtection="1">
      <protection locked="0"/>
    </xf>
    <xf numFmtId="0" fontId="4" fillId="0" borderId="0" xfId="1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43" fontId="3" fillId="0" borderId="0" xfId="1" applyFont="1" applyFill="1" applyBorder="1" applyAlignment="1" applyProtection="1">
      <alignment horizontal="left"/>
      <protection locked="0"/>
    </xf>
    <xf numFmtId="43" fontId="4" fillId="0" borderId="0" xfId="1" applyFont="1" applyFill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43" fontId="2" fillId="0" borderId="0" xfId="0" applyNumberFormat="1" applyFont="1" applyAlignment="1" applyProtection="1">
      <alignment horizontal="center"/>
      <protection locked="0"/>
    </xf>
    <xf numFmtId="164" fontId="3" fillId="0" borderId="3" xfId="1" applyNumberFormat="1" applyFont="1" applyFill="1" applyBorder="1" applyAlignment="1">
      <alignment vertical="center"/>
    </xf>
    <xf numFmtId="0" fontId="6" fillId="2" borderId="0" xfId="3" applyFont="1" applyFill="1" applyProtection="1">
      <protection locked="0"/>
    </xf>
    <xf numFmtId="43" fontId="12" fillId="0" borderId="0" xfId="1" applyFont="1" applyFill="1" applyBorder="1" applyAlignment="1" applyProtection="1">
      <protection locked="0"/>
    </xf>
    <xf numFmtId="0" fontId="4" fillId="2" borderId="0" xfId="1" applyNumberFormat="1" applyFont="1" applyFill="1" applyBorder="1" applyAlignment="1">
      <alignment vertical="center"/>
    </xf>
    <xf numFmtId="0" fontId="4" fillId="2" borderId="0" xfId="1" applyNumberFormat="1" applyFont="1" applyFill="1" applyBorder="1" applyAlignment="1">
      <alignment vertical="top" wrapText="1"/>
    </xf>
    <xf numFmtId="0" fontId="4" fillId="2" borderId="0" xfId="1" applyNumberFormat="1" applyFont="1" applyFill="1" applyBorder="1" applyAlignment="1">
      <alignment vertical="top"/>
    </xf>
    <xf numFmtId="0" fontId="2" fillId="0" borderId="0" xfId="0" applyFont="1" applyAlignment="1">
      <alignment horizontal="right"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 applyProtection="1">
      <alignment horizontal="right" vertical="center"/>
      <protection locked="0"/>
    </xf>
    <xf numFmtId="43" fontId="4" fillId="0" borderId="0" xfId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vertical="center"/>
    </xf>
    <xf numFmtId="164" fontId="3" fillId="0" borderId="0" xfId="2" applyNumberFormat="1" applyFont="1" applyFill="1" applyBorder="1" applyAlignment="1">
      <alignment vertical="center"/>
    </xf>
    <xf numFmtId="0" fontId="6" fillId="0" borderId="0" xfId="3" applyFont="1" applyAlignment="1" applyProtection="1">
      <alignment horizontal="right"/>
      <protection locked="0"/>
    </xf>
    <xf numFmtId="167" fontId="4" fillId="0" borderId="0" xfId="1" applyNumberFormat="1" applyFont="1" applyFill="1" applyBorder="1" applyAlignment="1">
      <alignment vertical="center"/>
    </xf>
    <xf numFmtId="164" fontId="4" fillId="0" borderId="9" xfId="1" applyNumberFormat="1" applyFont="1" applyFill="1" applyBorder="1" applyAlignment="1">
      <alignment vertical="center"/>
    </xf>
    <xf numFmtId="43" fontId="4" fillId="0" borderId="0" xfId="1" applyFont="1" applyFill="1" applyBorder="1" applyAlignment="1"/>
    <xf numFmtId="0" fontId="4" fillId="0" borderId="0" xfId="3" applyFont="1" applyProtection="1">
      <protection locked="0"/>
    </xf>
    <xf numFmtId="43" fontId="4" fillId="0" borderId="4" xfId="1" applyFont="1" applyFill="1" applyBorder="1" applyAlignment="1">
      <alignment horizontal="center" vertical="center"/>
    </xf>
    <xf numFmtId="166" fontId="3" fillId="0" borderId="4" xfId="1" applyNumberFormat="1" applyFont="1" applyFill="1" applyBorder="1" applyAlignment="1">
      <alignment horizontal="center" vertical="center"/>
    </xf>
    <xf numFmtId="43" fontId="3" fillId="0" borderId="9" xfId="1" applyFont="1" applyFill="1" applyBorder="1" applyAlignment="1">
      <alignment vertical="center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0" borderId="4" xfId="1" applyNumberFormat="1" applyFont="1" applyFill="1" applyBorder="1" applyAlignment="1">
      <alignment horizontal="left" vertical="center" wrapText="1"/>
    </xf>
    <xf numFmtId="0" fontId="2" fillId="0" borderId="0" xfId="3" applyFont="1" applyAlignment="1" applyProtection="1">
      <alignment horizontal="left" vertical="top"/>
      <protection locked="0"/>
    </xf>
    <xf numFmtId="0" fontId="3" fillId="0" borderId="0" xfId="3" applyFont="1" applyAlignment="1" applyProtection="1">
      <alignment horizontal="left" vertical="top"/>
      <protection locked="0"/>
    </xf>
    <xf numFmtId="0" fontId="3" fillId="0" borderId="0" xfId="3" applyFont="1" applyAlignment="1" applyProtection="1">
      <alignment vertical="top"/>
      <protection locked="0"/>
    </xf>
    <xf numFmtId="43" fontId="3" fillId="0" borderId="1" xfId="1" applyFont="1" applyFill="1" applyBorder="1" applyAlignment="1" applyProtection="1">
      <protection locked="0"/>
    </xf>
    <xf numFmtId="164" fontId="4" fillId="0" borderId="0" xfId="2" applyNumberFormat="1" applyFont="1" applyFill="1" applyBorder="1" applyAlignment="1">
      <alignment vertical="center"/>
    </xf>
    <xf numFmtId="43" fontId="13" fillId="0" borderId="0" xfId="0" applyNumberFormat="1" applyFont="1" applyAlignment="1">
      <alignment vertical="center"/>
    </xf>
    <xf numFmtId="43" fontId="2" fillId="2" borderId="0" xfId="0" applyNumberFormat="1" applyFont="1" applyFill="1" applyAlignment="1">
      <alignment wrapText="1"/>
    </xf>
    <xf numFmtId="43" fontId="2" fillId="0" borderId="0" xfId="0" applyNumberFormat="1" applyFont="1" applyAlignment="1">
      <alignment wrapText="1"/>
    </xf>
    <xf numFmtId="0" fontId="3" fillId="0" borderId="0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top"/>
    </xf>
    <xf numFmtId="0" fontId="4" fillId="0" borderId="9" xfId="1" applyNumberFormat="1" applyFont="1" applyFill="1" applyBorder="1" applyAlignment="1">
      <alignment horizontal="right" vertical="center"/>
    </xf>
    <xf numFmtId="0" fontId="3" fillId="0" borderId="0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vertical="center" indent="1"/>
    </xf>
    <xf numFmtId="0" fontId="2" fillId="2" borderId="0" xfId="3" applyFont="1" applyFill="1" applyProtection="1">
      <protection locked="0"/>
    </xf>
    <xf numFmtId="167" fontId="4" fillId="0" borderId="9" xfId="1" applyNumberFormat="1" applyFont="1" applyFill="1" applyBorder="1" applyAlignment="1">
      <alignment vertical="center"/>
    </xf>
    <xf numFmtId="165" fontId="14" fillId="0" borderId="0" xfId="1" applyNumberFormat="1" applyFont="1" applyFill="1" applyBorder="1" applyAlignment="1">
      <alignment horizontal="left" vertical="center"/>
    </xf>
    <xf numFmtId="43" fontId="14" fillId="0" borderId="0" xfId="1" applyFont="1" applyFill="1" applyBorder="1" applyAlignment="1">
      <alignment horizontal="right" vertical="center"/>
    </xf>
    <xf numFmtId="43" fontId="12" fillId="0" borderId="0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vertical="center"/>
    </xf>
    <xf numFmtId="165" fontId="15" fillId="0" borderId="0" xfId="1" applyNumberFormat="1" applyFont="1" applyFill="1" applyBorder="1" applyAlignment="1">
      <alignment horizontal="left" vertical="center"/>
    </xf>
    <xf numFmtId="43" fontId="15" fillId="0" borderId="0" xfId="1" applyFont="1" applyFill="1" applyBorder="1" applyAlignment="1">
      <alignment horizontal="right" vertical="center"/>
    </xf>
    <xf numFmtId="43" fontId="16" fillId="0" borderId="0" xfId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vertical="center"/>
    </xf>
    <xf numFmtId="43" fontId="17" fillId="4" borderId="7" xfId="1" applyFont="1" applyFill="1" applyBorder="1" applyAlignment="1">
      <alignment horizontal="center" vertical="center" wrapText="1"/>
    </xf>
    <xf numFmtId="165" fontId="3" fillId="3" borderId="2" xfId="1" applyNumberFormat="1" applyFont="1" applyFill="1" applyBorder="1" applyAlignment="1">
      <alignment horizontal="left" vertical="center"/>
    </xf>
    <xf numFmtId="165" fontId="3" fillId="3" borderId="3" xfId="1" applyNumberFormat="1" applyFont="1" applyFill="1" applyBorder="1" applyAlignment="1">
      <alignment horizontal="left" vertical="center"/>
    </xf>
    <xf numFmtId="167" fontId="3" fillId="3" borderId="1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/>
    </xf>
    <xf numFmtId="167" fontId="4" fillId="3" borderId="1" xfId="1" applyNumberFormat="1" applyFont="1" applyFill="1" applyBorder="1" applyAlignment="1">
      <alignment horizontal="center" vertical="center"/>
    </xf>
    <xf numFmtId="167" fontId="4" fillId="3" borderId="3" xfId="1" applyNumberFormat="1" applyFont="1" applyFill="1" applyBorder="1" applyAlignment="1">
      <alignment horizontal="centerContinuous" vertical="center"/>
    </xf>
    <xf numFmtId="165" fontId="4" fillId="0" borderId="11" xfId="1" applyNumberFormat="1" applyFont="1" applyFill="1" applyBorder="1" applyAlignment="1">
      <alignment horizontal="left" vertical="center"/>
    </xf>
    <xf numFmtId="165" fontId="4" fillId="0" borderId="12" xfId="1" applyNumberFormat="1" applyFont="1" applyFill="1" applyBorder="1" applyAlignment="1">
      <alignment horizontal="left" vertical="center"/>
    </xf>
    <xf numFmtId="43" fontId="3" fillId="0" borderId="12" xfId="1" applyFont="1" applyFill="1" applyBorder="1" applyAlignment="1">
      <alignment vertical="center"/>
    </xf>
    <xf numFmtId="43" fontId="3" fillId="0" borderId="12" xfId="1" applyFont="1" applyFill="1" applyBorder="1" applyAlignment="1">
      <alignment horizontal="center" vertical="center" wrapText="1"/>
    </xf>
    <xf numFmtId="43" fontId="3" fillId="0" borderId="6" xfId="1" applyFont="1" applyFill="1" applyBorder="1" applyAlignment="1">
      <alignment horizontal="center" vertical="center" wrapText="1"/>
    </xf>
    <xf numFmtId="167" fontId="3" fillId="0" borderId="11" xfId="1" applyNumberFormat="1" applyFont="1" applyFill="1" applyBorder="1" applyAlignment="1">
      <alignment horizontal="center" vertical="center" wrapText="1"/>
    </xf>
    <xf numFmtId="167" fontId="3" fillId="0" borderId="12" xfId="1" applyNumberFormat="1" applyFont="1" applyFill="1" applyBorder="1" applyAlignment="1">
      <alignment horizontal="center" vertical="center" wrapText="1"/>
    </xf>
    <xf numFmtId="164" fontId="3" fillId="0" borderId="12" xfId="1" applyNumberFormat="1" applyFont="1" applyFill="1" applyBorder="1" applyAlignment="1">
      <alignment vertical="center" wrapText="1"/>
    </xf>
    <xf numFmtId="164" fontId="3" fillId="0" borderId="13" xfId="1" applyNumberFormat="1" applyFont="1" applyFill="1" applyBorder="1" applyAlignment="1">
      <alignment vertical="center" wrapText="1"/>
    </xf>
    <xf numFmtId="164" fontId="3" fillId="0" borderId="11" xfId="1" applyNumberFormat="1" applyFont="1" applyFill="1" applyBorder="1" applyAlignment="1">
      <alignment vertical="center"/>
    </xf>
    <xf numFmtId="164" fontId="3" fillId="0" borderId="13" xfId="1" applyNumberFormat="1" applyFont="1" applyFill="1" applyBorder="1" applyAlignment="1">
      <alignment vertical="center"/>
    </xf>
    <xf numFmtId="164" fontId="3" fillId="0" borderId="12" xfId="1" applyNumberFormat="1" applyFont="1" applyFill="1" applyBorder="1" applyAlignment="1">
      <alignment vertical="center"/>
    </xf>
    <xf numFmtId="167" fontId="4" fillId="3" borderId="1" xfId="1" applyNumberFormat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168" fontId="4" fillId="0" borderId="0" xfId="2" applyNumberFormat="1" applyFont="1" applyFill="1" applyBorder="1" applyAlignment="1">
      <alignment vertical="center"/>
    </xf>
    <xf numFmtId="43" fontId="3" fillId="0" borderId="2" xfId="1" applyFont="1" applyFill="1" applyBorder="1" applyAlignment="1">
      <alignment vertical="center"/>
    </xf>
    <xf numFmtId="43" fontId="3" fillId="0" borderId="0" xfId="1" applyFont="1" applyFill="1" applyBorder="1" applyAlignment="1">
      <alignment horizontal="left" vertical="center"/>
    </xf>
    <xf numFmtId="43" fontId="4" fillId="3" borderId="3" xfId="1" applyFont="1" applyFill="1" applyBorder="1" applyAlignment="1">
      <alignment vertical="center"/>
    </xf>
    <xf numFmtId="0" fontId="0" fillId="6" borderId="0" xfId="0" applyFill="1"/>
    <xf numFmtId="43" fontId="3" fillId="6" borderId="0" xfId="1" applyFont="1" applyFill="1" applyBorder="1"/>
    <xf numFmtId="0" fontId="2" fillId="0" borderId="0" xfId="3" applyFont="1" applyAlignment="1" applyProtection="1">
      <alignment horizontal="left" vertical="center"/>
      <protection locked="0"/>
    </xf>
    <xf numFmtId="0" fontId="3" fillId="0" borderId="0" xfId="1" applyNumberFormat="1" applyFont="1" applyFill="1" applyBorder="1" applyAlignment="1" applyProtection="1">
      <alignment horizontal="left" vertical="center"/>
      <protection locked="0"/>
    </xf>
    <xf numFmtId="43" fontId="3" fillId="0" borderId="0" xfId="1" applyFont="1" applyFill="1" applyBorder="1" applyAlignment="1">
      <alignment horizontal="left" vertical="center" wrapText="1"/>
    </xf>
    <xf numFmtId="43" fontId="3" fillId="2" borderId="0" xfId="1" applyFont="1" applyFill="1" applyBorder="1" applyAlignment="1">
      <alignment horizontal="left" vertical="center" wrapText="1"/>
    </xf>
    <xf numFmtId="43" fontId="3" fillId="0" borderId="0" xfId="1" quotePrefix="1" applyFont="1" applyFill="1" applyBorder="1" applyAlignment="1" applyProtection="1">
      <protection locked="0"/>
    </xf>
    <xf numFmtId="15" fontId="3" fillId="0" borderId="0" xfId="1" quotePrefix="1" applyNumberFormat="1" applyFont="1" applyFill="1" applyBorder="1" applyAlignment="1" applyProtection="1">
      <protection locked="0"/>
    </xf>
    <xf numFmtId="165" fontId="3" fillId="6" borderId="0" xfId="1" applyNumberFormat="1" applyFont="1" applyFill="1" applyBorder="1"/>
    <xf numFmtId="43" fontId="3" fillId="6" borderId="0" xfId="1" applyFont="1" applyFill="1" applyBorder="1" applyAlignment="1">
      <alignment wrapText="1"/>
    </xf>
    <xf numFmtId="165" fontId="19" fillId="6" borderId="0" xfId="1" applyNumberFormat="1" applyFont="1" applyFill="1" applyBorder="1"/>
    <xf numFmtId="165" fontId="3" fillId="6" borderId="0" xfId="1" applyNumberFormat="1" applyFont="1" applyFill="1" applyBorder="1" applyAlignment="1">
      <alignment vertical="center"/>
    </xf>
    <xf numFmtId="43" fontId="3" fillId="6" borderId="0" xfId="1" applyFont="1" applyFill="1" applyBorder="1" applyAlignment="1">
      <alignment vertical="center"/>
    </xf>
    <xf numFmtId="165" fontId="4" fillId="6" borderId="0" xfId="1" applyNumberFormat="1" applyFont="1" applyFill="1" applyBorder="1" applyAlignment="1">
      <alignment vertical="center"/>
    </xf>
    <xf numFmtId="43" fontId="4" fillId="6" borderId="0" xfId="1" applyFont="1" applyFill="1" applyBorder="1" applyAlignment="1">
      <alignment vertical="center"/>
    </xf>
    <xf numFmtId="165" fontId="2" fillId="6" borderId="0" xfId="1" applyNumberFormat="1" applyFont="1" applyFill="1" applyBorder="1" applyAlignment="1" applyProtection="1">
      <alignment horizontal="left" vertical="center" wrapText="1"/>
      <protection locked="0"/>
    </xf>
    <xf numFmtId="0" fontId="2" fillId="6" borderId="0" xfId="3" applyFont="1" applyFill="1" applyAlignment="1" applyProtection="1">
      <alignment horizontal="left" vertical="center" wrapText="1"/>
      <protection locked="0"/>
    </xf>
    <xf numFmtId="165" fontId="2" fillId="6" borderId="0" xfId="1" applyNumberFormat="1" applyFont="1" applyFill="1" applyProtection="1">
      <protection locked="0"/>
    </xf>
    <xf numFmtId="0" fontId="2" fillId="6" borderId="0" xfId="3" applyFont="1" applyFill="1" applyProtection="1">
      <protection locked="0"/>
    </xf>
    <xf numFmtId="165" fontId="2" fillId="6" borderId="0" xfId="1" applyNumberFormat="1" applyFont="1" applyFill="1" applyAlignment="1" applyProtection="1">
      <alignment vertical="center"/>
      <protection locked="0"/>
    </xf>
    <xf numFmtId="0" fontId="2" fillId="6" borderId="0" xfId="3" applyFont="1" applyFill="1" applyAlignment="1" applyProtection="1">
      <alignment vertical="center"/>
      <protection locked="0"/>
    </xf>
    <xf numFmtId="165" fontId="2" fillId="6" borderId="0" xfId="1" applyNumberFormat="1" applyFont="1" applyFill="1" applyAlignment="1" applyProtection="1">
      <alignment horizontal="left" vertical="center"/>
      <protection locked="0"/>
    </xf>
    <xf numFmtId="0" fontId="2" fillId="6" borderId="0" xfId="3" applyFont="1" applyFill="1" applyAlignment="1" applyProtection="1">
      <alignment horizontal="left" vertical="center"/>
      <protection locked="0"/>
    </xf>
    <xf numFmtId="165" fontId="2" fillId="6" borderId="0" xfId="1" applyNumberFormat="1" applyFont="1" applyFill="1" applyAlignment="1" applyProtection="1">
      <protection locked="0"/>
    </xf>
    <xf numFmtId="165" fontId="2" fillId="6" borderId="0" xfId="1" applyNumberFormat="1" applyFont="1" applyFill="1" applyAlignment="1" applyProtection="1">
      <alignment vertical="top"/>
      <protection locked="0"/>
    </xf>
    <xf numFmtId="0" fontId="2" fillId="6" borderId="0" xfId="3" applyFont="1" applyFill="1" applyAlignment="1" applyProtection="1">
      <alignment vertical="top"/>
      <protection locked="0"/>
    </xf>
    <xf numFmtId="0" fontId="2" fillId="0" borderId="0" xfId="0" applyFont="1" applyAlignment="1" applyProtection="1">
      <alignment horizontal="left" vertical="center"/>
      <protection locked="0"/>
    </xf>
    <xf numFmtId="167" fontId="3" fillId="3" borderId="2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/>
    </xf>
    <xf numFmtId="43" fontId="3" fillId="3" borderId="5" xfId="1" applyFont="1" applyFill="1" applyBorder="1" applyAlignment="1" applyProtection="1">
      <alignment horizontal="right" vertical="center"/>
      <protection locked="0"/>
    </xf>
    <xf numFmtId="43" fontId="3" fillId="3" borderId="0" xfId="1" applyFont="1" applyFill="1" applyBorder="1" applyAlignment="1" applyProtection="1">
      <alignment horizontal="right" vertical="center"/>
      <protection locked="0"/>
    </xf>
    <xf numFmtId="43" fontId="3" fillId="3" borderId="0" xfId="1" applyFont="1" applyFill="1" applyBorder="1" applyAlignment="1">
      <alignment horizontal="right" vertical="center"/>
    </xf>
    <xf numFmtId="0" fontId="12" fillId="0" borderId="0" xfId="1" applyNumberFormat="1" applyFont="1" applyFill="1" applyBorder="1" applyAlignment="1">
      <alignment horizontal="right" vertical="center"/>
    </xf>
    <xf numFmtId="43" fontId="4" fillId="3" borderId="4" xfId="1" applyFont="1" applyFill="1" applyBorder="1" applyAlignment="1">
      <alignment horizontal="right" vertical="center"/>
    </xf>
    <xf numFmtId="165" fontId="12" fillId="6" borderId="0" xfId="1" applyNumberFormat="1" applyFont="1" applyFill="1" applyBorder="1" applyAlignment="1">
      <alignment vertical="center"/>
    </xf>
    <xf numFmtId="43" fontId="12" fillId="6" borderId="0" xfId="1" applyFont="1" applyFill="1" applyBorder="1" applyAlignment="1">
      <alignment vertical="center"/>
    </xf>
    <xf numFmtId="165" fontId="14" fillId="6" borderId="0" xfId="1" applyNumberFormat="1" applyFont="1" applyFill="1" applyBorder="1" applyAlignment="1">
      <alignment vertical="center"/>
    </xf>
    <xf numFmtId="43" fontId="14" fillId="6" borderId="0" xfId="1" applyFont="1" applyFill="1" applyBorder="1" applyAlignment="1">
      <alignment vertical="center"/>
    </xf>
    <xf numFmtId="167" fontId="3" fillId="0" borderId="4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vertical="center"/>
    </xf>
    <xf numFmtId="43" fontId="4" fillId="0" borderId="3" xfId="1" applyFont="1" applyFill="1" applyBorder="1" applyAlignment="1" applyProtection="1">
      <alignment horizontal="left"/>
      <protection locked="0"/>
    </xf>
    <xf numFmtId="43" fontId="3" fillId="0" borderId="3" xfId="1" applyFont="1" applyFill="1" applyBorder="1" applyAlignment="1"/>
    <xf numFmtId="43" fontId="4" fillId="0" borderId="1" xfId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right" vertical="center"/>
    </xf>
    <xf numFmtId="43" fontId="3" fillId="0" borderId="5" xfId="1" applyFont="1" applyFill="1" applyBorder="1" applyAlignment="1" applyProtection="1">
      <alignment horizontal="right" vertical="center"/>
      <protection locked="0"/>
    </xf>
    <xf numFmtId="43" fontId="17" fillId="4" borderId="1" xfId="1" applyFont="1" applyFill="1" applyBorder="1" applyAlignment="1">
      <alignment horizontal="center" vertical="center" wrapText="1"/>
    </xf>
    <xf numFmtId="43" fontId="17" fillId="4" borderId="10" xfId="1" applyFont="1" applyFill="1" applyBorder="1" applyAlignment="1">
      <alignment horizontal="center" vertical="center" wrapText="1"/>
    </xf>
    <xf numFmtId="43" fontId="17" fillId="4" borderId="4" xfId="1" applyFont="1" applyFill="1" applyBorder="1" applyAlignment="1">
      <alignment horizontal="center" vertical="center" wrapText="1"/>
    </xf>
    <xf numFmtId="167" fontId="3" fillId="0" borderId="0" xfId="1" applyNumberFormat="1" applyFont="1" applyFill="1" applyBorder="1" applyAlignment="1">
      <alignment horizontal="center" vertical="center" wrapText="1"/>
    </xf>
    <xf numFmtId="164" fontId="3" fillId="0" borderId="11" xfId="1" applyNumberFormat="1" applyFont="1" applyFill="1" applyBorder="1" applyAlignment="1">
      <alignment vertical="center" wrapText="1"/>
    </xf>
    <xf numFmtId="43" fontId="3" fillId="0" borderId="5" xfId="1" applyFont="1" applyFill="1" applyBorder="1" applyAlignment="1">
      <alignment vertical="center"/>
    </xf>
    <xf numFmtId="0" fontId="3" fillId="2" borderId="3" xfId="1" applyNumberFormat="1" applyFont="1" applyFill="1" applyBorder="1" applyAlignment="1">
      <alignment vertical="center"/>
    </xf>
    <xf numFmtId="0" fontId="2" fillId="0" borderId="3" xfId="3" applyFont="1" applyBorder="1" applyProtection="1">
      <protection locked="0"/>
    </xf>
    <xf numFmtId="167" fontId="4" fillId="3" borderId="4" xfId="1" applyNumberFormat="1" applyFont="1" applyFill="1" applyBorder="1" applyAlignment="1">
      <alignment horizontal="center" vertical="center"/>
    </xf>
    <xf numFmtId="0" fontId="12" fillId="3" borderId="3" xfId="1" applyNumberFormat="1" applyFont="1" applyFill="1" applyBorder="1" applyAlignment="1">
      <alignment horizontal="centerContinuous" vertical="center"/>
    </xf>
    <xf numFmtId="43" fontId="14" fillId="3" borderId="4" xfId="1" applyFont="1" applyFill="1" applyBorder="1" applyAlignment="1">
      <alignment vertical="center"/>
    </xf>
    <xf numFmtId="43" fontId="15" fillId="5" borderId="3" xfId="1" applyFont="1" applyFill="1" applyBorder="1" applyAlignment="1">
      <alignment vertical="center"/>
    </xf>
    <xf numFmtId="0" fontId="16" fillId="5" borderId="3" xfId="1" applyNumberFormat="1" applyFont="1" applyFill="1" applyBorder="1" applyAlignment="1">
      <alignment horizontal="centerContinuous" vertical="center"/>
    </xf>
    <xf numFmtId="43" fontId="3" fillId="0" borderId="4" xfId="1" applyFont="1" applyFill="1" applyBorder="1" applyAlignment="1">
      <alignment vertical="center"/>
    </xf>
    <xf numFmtId="164" fontId="4" fillId="0" borderId="3" xfId="1" applyNumberFormat="1" applyFont="1" applyFill="1" applyBorder="1" applyAlignment="1">
      <alignment vertical="center"/>
    </xf>
    <xf numFmtId="168" fontId="4" fillId="0" borderId="4" xfId="2" applyNumberFormat="1" applyFont="1" applyFill="1" applyBorder="1" applyAlignment="1">
      <alignment vertical="center"/>
    </xf>
    <xf numFmtId="43" fontId="3" fillId="0" borderId="15" xfId="1" applyFont="1" applyFill="1" applyBorder="1" applyAlignment="1">
      <alignment horizontal="left" vertical="center"/>
    </xf>
    <xf numFmtId="43" fontId="3" fillId="0" borderId="5" xfId="1" applyFont="1" applyFill="1" applyBorder="1" applyAlignment="1">
      <alignment horizontal="left" vertical="center"/>
    </xf>
    <xf numFmtId="0" fontId="2" fillId="0" borderId="15" xfId="3" applyFont="1" applyBorder="1" applyAlignment="1" applyProtection="1">
      <alignment horizontal="left" vertical="center" wrapText="1"/>
      <protection locked="0"/>
    </xf>
    <xf numFmtId="0" fontId="6" fillId="0" borderId="5" xfId="3" applyFont="1" applyBorder="1" applyAlignment="1" applyProtection="1">
      <alignment horizontal="left"/>
      <protection locked="0"/>
    </xf>
    <xf numFmtId="0" fontId="20" fillId="0" borderId="0" xfId="3" applyFont="1" applyProtection="1">
      <protection locked="0"/>
    </xf>
    <xf numFmtId="0" fontId="20" fillId="0" borderId="0" xfId="3" applyFont="1" applyAlignment="1" applyProtection="1">
      <alignment horizontal="center" vertical="center"/>
      <protection locked="0"/>
    </xf>
    <xf numFmtId="0" fontId="5" fillId="0" borderId="0" xfId="3" applyFont="1" applyAlignment="1" applyProtection="1">
      <alignment horizontal="left" vertical="top"/>
      <protection locked="0"/>
    </xf>
    <xf numFmtId="0" fontId="20" fillId="0" borderId="0" xfId="3" applyFont="1" applyAlignment="1" applyProtection="1">
      <alignment horizontal="left" vertical="center"/>
      <protection locked="0"/>
    </xf>
    <xf numFmtId="0" fontId="3" fillId="0" borderId="1" xfId="1" quotePrefix="1" applyNumberFormat="1" applyFont="1" applyFill="1" applyBorder="1" applyAlignment="1" applyProtection="1">
      <alignment horizontal="left"/>
      <protection locked="0"/>
    </xf>
    <xf numFmtId="0" fontId="14" fillId="0" borderId="0" xfId="1" applyNumberFormat="1" applyFont="1" applyFill="1" applyBorder="1" applyAlignment="1">
      <alignment horizontal="right" vertical="center"/>
    </xf>
    <xf numFmtId="0" fontId="16" fillId="0" borderId="0" xfId="1" applyNumberFormat="1" applyFont="1" applyFill="1" applyBorder="1" applyAlignment="1">
      <alignment horizontal="right" vertical="center"/>
    </xf>
    <xf numFmtId="0" fontId="2" fillId="0" borderId="0" xfId="3" quotePrefix="1" applyFont="1" applyAlignment="1" applyProtection="1">
      <alignment horizontal="left"/>
      <protection locked="0"/>
    </xf>
    <xf numFmtId="15" fontId="3" fillId="0" borderId="1" xfId="1" quotePrefix="1" applyNumberFormat="1" applyFont="1" applyFill="1" applyBorder="1" applyAlignment="1" applyProtection="1">
      <alignment horizontal="left"/>
      <protection locked="0"/>
    </xf>
    <xf numFmtId="43" fontId="4" fillId="0" borderId="1" xfId="1" applyFont="1" applyFill="1" applyBorder="1" applyAlignment="1">
      <alignment horizontal="center" wrapText="1"/>
    </xf>
    <xf numFmtId="0" fontId="23" fillId="0" borderId="0" xfId="3" applyFont="1" applyAlignment="1" applyProtection="1">
      <alignment horizontal="left" vertical="center"/>
      <protection locked="0"/>
    </xf>
    <xf numFmtId="164" fontId="4" fillId="0" borderId="15" xfId="1" applyNumberFormat="1" applyFont="1" applyFill="1" applyBorder="1" applyAlignment="1">
      <alignment vertical="center"/>
    </xf>
    <xf numFmtId="169" fontId="21" fillId="3" borderId="1" xfId="1" applyNumberFormat="1" applyFont="1" applyFill="1" applyBorder="1" applyAlignment="1">
      <alignment horizontal="center" vertical="center" wrapText="1"/>
    </xf>
    <xf numFmtId="167" fontId="21" fillId="3" borderId="1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Fill="1" applyBorder="1"/>
    <xf numFmtId="169" fontId="3" fillId="0" borderId="1" xfId="1" applyNumberFormat="1" applyFont="1" applyFill="1" applyBorder="1" applyAlignment="1">
      <alignment horizontal="center" vertical="center" wrapText="1"/>
    </xf>
    <xf numFmtId="0" fontId="24" fillId="4" borderId="1" xfId="1" applyNumberFormat="1" applyFont="1" applyFill="1" applyBorder="1" applyAlignment="1">
      <alignment horizontal="center" vertical="center" wrapText="1"/>
    </xf>
    <xf numFmtId="0" fontId="24" fillId="4" borderId="1" xfId="1" applyNumberFormat="1" applyFont="1" applyFill="1" applyBorder="1" applyAlignment="1">
      <alignment horizontal="center" wrapText="1"/>
    </xf>
    <xf numFmtId="0" fontId="17" fillId="4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Continuous" vertical="center"/>
    </xf>
    <xf numFmtId="43" fontId="3" fillId="0" borderId="1" xfId="1" applyFont="1" applyFill="1" applyBorder="1" applyAlignment="1">
      <alignment horizontal="center" vertical="center"/>
    </xf>
    <xf numFmtId="9" fontId="3" fillId="3" borderId="7" xfId="2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Alignment="1" applyProtection="1">
      <protection locked="0"/>
    </xf>
    <xf numFmtId="165" fontId="2" fillId="0" borderId="0" xfId="1" applyNumberFormat="1" applyFont="1" applyFill="1" applyAlignment="1" applyProtection="1">
      <alignment vertical="top"/>
      <protection locked="0"/>
    </xf>
    <xf numFmtId="0" fontId="25" fillId="0" borderId="0" xfId="3" applyFont="1" applyProtection="1">
      <protection locked="0"/>
    </xf>
    <xf numFmtId="0" fontId="2" fillId="3" borderId="11" xfId="0" applyFont="1" applyFill="1" applyBorder="1" applyAlignment="1" applyProtection="1">
      <alignment horizontal="left" vertical="center"/>
      <protection locked="0"/>
    </xf>
    <xf numFmtId="0" fontId="2" fillId="3" borderId="12" xfId="0" applyFont="1" applyFill="1" applyBorder="1" applyAlignment="1" applyProtection="1">
      <alignment horizontal="left" vertical="center"/>
      <protection locked="0"/>
    </xf>
    <xf numFmtId="0" fontId="2" fillId="3" borderId="13" xfId="0" applyFont="1" applyFill="1" applyBorder="1" applyAlignment="1" applyProtection="1">
      <alignment horizontal="left" vertical="center"/>
      <protection locked="0"/>
    </xf>
    <xf numFmtId="0" fontId="2" fillId="3" borderId="8" xfId="0" applyFont="1" applyFill="1" applyBorder="1" applyAlignment="1" applyProtection="1">
      <alignment horizontal="left" vertical="center"/>
      <protection locked="0"/>
    </xf>
    <xf numFmtId="0" fontId="2" fillId="3" borderId="9" xfId="0" applyFont="1" applyFill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left" vertical="center"/>
      <protection locked="0"/>
    </xf>
    <xf numFmtId="167" fontId="4" fillId="3" borderId="1" xfId="2" applyNumberFormat="1" applyFont="1" applyFill="1" applyBorder="1" applyAlignment="1">
      <alignment horizontal="center" vertical="center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43" fontId="3" fillId="2" borderId="2" xfId="1" applyFont="1" applyFill="1" applyBorder="1" applyAlignment="1">
      <alignment horizontal="left" vertical="center"/>
    </xf>
    <xf numFmtId="43" fontId="3" fillId="2" borderId="3" xfId="1" applyFont="1" applyFill="1" applyBorder="1" applyAlignment="1">
      <alignment horizontal="left" vertical="center"/>
    </xf>
    <xf numFmtId="43" fontId="3" fillId="2" borderId="4" xfId="1" applyFont="1" applyFill="1" applyBorder="1" applyAlignment="1">
      <alignment horizontal="left" vertical="center"/>
    </xf>
    <xf numFmtId="0" fontId="2" fillId="0" borderId="1" xfId="3" applyFont="1" applyBorder="1" applyAlignment="1" applyProtection="1">
      <alignment horizontal="left" vertical="center"/>
      <protection locked="0"/>
    </xf>
    <xf numFmtId="0" fontId="2" fillId="0" borderId="2" xfId="3" applyFont="1" applyBorder="1" applyAlignment="1" applyProtection="1">
      <alignment horizontal="left" vertical="center"/>
      <protection locked="0"/>
    </xf>
    <xf numFmtId="43" fontId="3" fillId="0" borderId="1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7" fontId="3" fillId="3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top" wrapText="1"/>
    </xf>
    <xf numFmtId="0" fontId="2" fillId="0" borderId="2" xfId="3" applyFont="1" applyBorder="1" applyAlignment="1" applyProtection="1">
      <alignment horizontal="left"/>
      <protection locked="0"/>
    </xf>
    <xf numFmtId="0" fontId="2" fillId="0" borderId="3" xfId="3" applyFont="1" applyBorder="1" applyAlignment="1" applyProtection="1">
      <alignment horizontal="left"/>
      <protection locked="0"/>
    </xf>
    <xf numFmtId="0" fontId="2" fillId="0" borderId="4" xfId="3" applyFont="1" applyBorder="1" applyAlignment="1" applyProtection="1">
      <alignment horizontal="left"/>
      <protection locked="0"/>
    </xf>
    <xf numFmtId="164" fontId="3" fillId="0" borderId="2" xfId="2" applyNumberFormat="1" applyFont="1" applyFill="1" applyBorder="1" applyAlignment="1">
      <alignment horizontal="left" vertical="center"/>
    </xf>
    <xf numFmtId="164" fontId="3" fillId="0" borderId="3" xfId="2" applyNumberFormat="1" applyFont="1" applyFill="1" applyBorder="1" applyAlignment="1">
      <alignment horizontal="left" vertical="center"/>
    </xf>
    <xf numFmtId="164" fontId="3" fillId="0" borderId="4" xfId="2" applyNumberFormat="1" applyFont="1" applyFill="1" applyBorder="1" applyAlignment="1">
      <alignment horizontal="left" vertical="center"/>
    </xf>
    <xf numFmtId="164" fontId="3" fillId="0" borderId="2" xfId="1" applyNumberFormat="1" applyFont="1" applyFill="1" applyBorder="1" applyAlignment="1">
      <alignment horizontal="left" vertical="center"/>
    </xf>
    <xf numFmtId="164" fontId="3" fillId="0" borderId="3" xfId="1" applyNumberFormat="1" applyFont="1" applyFill="1" applyBorder="1" applyAlignment="1">
      <alignment horizontal="left" vertical="center"/>
    </xf>
    <xf numFmtId="164" fontId="3" fillId="0" borderId="4" xfId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left" vertical="top"/>
    </xf>
    <xf numFmtId="0" fontId="3" fillId="2" borderId="3" xfId="1" applyNumberFormat="1" applyFont="1" applyFill="1" applyBorder="1" applyAlignment="1">
      <alignment horizontal="left" vertical="top"/>
    </xf>
    <xf numFmtId="43" fontId="17" fillId="4" borderId="1" xfId="1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43" fontId="17" fillId="4" borderId="11" xfId="1" applyFont="1" applyFill="1" applyBorder="1" applyAlignment="1">
      <alignment horizontal="center" vertical="center" wrapText="1"/>
    </xf>
    <xf numFmtId="43" fontId="17" fillId="4" borderId="13" xfId="1" applyFont="1" applyFill="1" applyBorder="1" applyAlignment="1">
      <alignment horizontal="center" vertical="center" wrapText="1"/>
    </xf>
    <xf numFmtId="43" fontId="17" fillId="4" borderId="15" xfId="1" applyFont="1" applyFill="1" applyBorder="1" applyAlignment="1">
      <alignment horizontal="center" vertical="center" wrapText="1"/>
    </xf>
    <xf numFmtId="43" fontId="17" fillId="4" borderId="5" xfId="1" applyFont="1" applyFill="1" applyBorder="1" applyAlignment="1">
      <alignment horizontal="center" vertical="center" wrapText="1"/>
    </xf>
    <xf numFmtId="43" fontId="17" fillId="4" borderId="8" xfId="1" applyFont="1" applyFill="1" applyBorder="1" applyAlignment="1">
      <alignment horizontal="center" vertical="center" wrapText="1"/>
    </xf>
    <xf numFmtId="43" fontId="17" fillId="4" borderId="10" xfId="1" applyFont="1" applyFill="1" applyBorder="1" applyAlignment="1">
      <alignment horizontal="center" vertical="center" wrapText="1"/>
    </xf>
    <xf numFmtId="43" fontId="17" fillId="4" borderId="2" xfId="1" applyFont="1" applyFill="1" applyBorder="1" applyAlignment="1">
      <alignment horizontal="center" vertical="center"/>
    </xf>
    <xf numFmtId="43" fontId="17" fillId="4" borderId="3" xfId="1" applyFont="1" applyFill="1" applyBorder="1" applyAlignment="1">
      <alignment horizontal="center" vertical="center"/>
    </xf>
    <xf numFmtId="43" fontId="17" fillId="4" borderId="4" xfId="1" applyFont="1" applyFill="1" applyBorder="1" applyAlignment="1">
      <alignment horizontal="center" vertical="center"/>
    </xf>
    <xf numFmtId="43" fontId="17" fillId="4" borderId="3" xfId="1" applyFont="1" applyFill="1" applyBorder="1" applyAlignment="1">
      <alignment horizontal="center" vertical="center" wrapText="1"/>
    </xf>
    <xf numFmtId="43" fontId="17" fillId="4" borderId="4" xfId="1" applyFont="1" applyFill="1" applyBorder="1" applyAlignment="1">
      <alignment horizontal="center" vertical="center" wrapText="1"/>
    </xf>
    <xf numFmtId="43" fontId="17" fillId="4" borderId="3" xfId="1" applyFont="1" applyFill="1" applyBorder="1" applyAlignment="1" applyProtection="1">
      <alignment horizontal="left" vertical="center" wrapText="1" indent="45"/>
      <protection locked="0"/>
    </xf>
    <xf numFmtId="43" fontId="17" fillId="4" borderId="4" xfId="1" applyFont="1" applyFill="1" applyBorder="1" applyAlignment="1" applyProtection="1">
      <alignment horizontal="left" vertical="center" wrapText="1" indent="45"/>
      <protection locked="0"/>
    </xf>
    <xf numFmtId="43" fontId="17" fillId="4" borderId="12" xfId="1" applyFont="1" applyFill="1" applyBorder="1" applyAlignment="1">
      <alignment horizontal="center" vertical="center" wrapText="1"/>
    </xf>
    <xf numFmtId="43" fontId="17" fillId="4" borderId="9" xfId="1" applyFont="1" applyFill="1" applyBorder="1" applyAlignment="1">
      <alignment horizontal="center" vertical="center" wrapText="1"/>
    </xf>
    <xf numFmtId="43" fontId="17" fillId="4" borderId="2" xfId="1" applyFont="1" applyFill="1" applyBorder="1" applyAlignment="1">
      <alignment horizontal="center" vertical="center" wrapText="1"/>
    </xf>
    <xf numFmtId="167" fontId="3" fillId="3" borderId="2" xfId="1" applyNumberFormat="1" applyFont="1" applyFill="1" applyBorder="1" applyAlignment="1">
      <alignment horizontal="center" vertical="center" wrapText="1"/>
    </xf>
    <xf numFmtId="167" fontId="3" fillId="3" borderId="4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left" vertical="center"/>
    </xf>
    <xf numFmtId="0" fontId="3" fillId="2" borderId="3" xfId="1" applyNumberFormat="1" applyFont="1" applyFill="1" applyBorder="1" applyAlignment="1">
      <alignment horizontal="left" vertical="center"/>
    </xf>
    <xf numFmtId="0" fontId="3" fillId="2" borderId="4" xfId="1" applyNumberFormat="1" applyFont="1" applyFill="1" applyBorder="1" applyAlignment="1">
      <alignment horizontal="left" vertical="center"/>
    </xf>
    <xf numFmtId="167" fontId="12" fillId="3" borderId="2" xfId="1" applyNumberFormat="1" applyFont="1" applyFill="1" applyBorder="1" applyAlignment="1">
      <alignment horizontal="center" vertical="center"/>
    </xf>
    <xf numFmtId="167" fontId="12" fillId="3" borderId="4" xfId="1" applyNumberFormat="1" applyFont="1" applyFill="1" applyBorder="1" applyAlignment="1">
      <alignment horizontal="center" vertical="center"/>
    </xf>
    <xf numFmtId="167" fontId="16" fillId="5" borderId="2" xfId="1" applyNumberFormat="1" applyFont="1" applyFill="1" applyBorder="1" applyAlignment="1">
      <alignment horizontal="center" vertical="center"/>
    </xf>
    <xf numFmtId="167" fontId="16" fillId="5" borderId="4" xfId="1" applyNumberFormat="1" applyFont="1" applyFill="1" applyBorder="1" applyAlignment="1">
      <alignment horizontal="center" vertical="center"/>
    </xf>
    <xf numFmtId="167" fontId="3" fillId="0" borderId="2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horizontal="center" vertical="center"/>
    </xf>
    <xf numFmtId="166" fontId="4" fillId="3" borderId="2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horizontal="center" vertical="center"/>
    </xf>
    <xf numFmtId="167" fontId="4" fillId="3" borderId="2" xfId="1" applyNumberFormat="1" applyFont="1" applyFill="1" applyBorder="1" applyAlignment="1">
      <alignment horizontal="center" vertical="center"/>
    </xf>
    <xf numFmtId="167" fontId="4" fillId="3" borderId="4" xfId="1" applyNumberFormat="1" applyFont="1" applyFill="1" applyBorder="1" applyAlignment="1">
      <alignment horizontal="center" vertical="center"/>
    </xf>
    <xf numFmtId="169" fontId="21" fillId="3" borderId="2" xfId="1" applyNumberFormat="1" applyFont="1" applyFill="1" applyBorder="1" applyAlignment="1">
      <alignment horizontal="center" vertical="center"/>
    </xf>
    <xf numFmtId="169" fontId="21" fillId="3" borderId="4" xfId="1" applyNumberFormat="1" applyFont="1" applyFill="1" applyBorder="1" applyAlignment="1">
      <alignment horizontal="center" vertical="center"/>
    </xf>
    <xf numFmtId="167" fontId="21" fillId="3" borderId="2" xfId="1" applyNumberFormat="1" applyFont="1" applyFill="1" applyBorder="1" applyAlignment="1">
      <alignment horizontal="center" vertical="center"/>
    </xf>
    <xf numFmtId="167" fontId="21" fillId="3" borderId="4" xfId="1" applyNumberFormat="1" applyFont="1" applyFill="1" applyBorder="1" applyAlignment="1">
      <alignment horizontal="center" vertical="center"/>
    </xf>
    <xf numFmtId="167" fontId="3" fillId="0" borderId="3" xfId="1" applyNumberFormat="1" applyFont="1" applyFill="1" applyBorder="1" applyAlignment="1">
      <alignment horizontal="center" vertical="center"/>
    </xf>
    <xf numFmtId="166" fontId="4" fillId="5" borderId="2" xfId="1" applyNumberFormat="1" applyFont="1" applyFill="1" applyBorder="1" applyAlignment="1">
      <alignment horizontal="center" vertical="center"/>
    </xf>
    <xf numFmtId="166" fontId="4" fillId="5" borderId="4" xfId="1" applyNumberFormat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left" vertical="center"/>
    </xf>
    <xf numFmtId="43" fontId="3" fillId="0" borderId="3" xfId="1" applyFont="1" applyFill="1" applyBorder="1" applyAlignment="1">
      <alignment horizontal="left" vertical="center"/>
    </xf>
    <xf numFmtId="43" fontId="3" fillId="0" borderId="4" xfId="1" applyFont="1" applyFill="1" applyBorder="1" applyAlignment="1">
      <alignment horizontal="left" vertical="center"/>
    </xf>
    <xf numFmtId="9" fontId="3" fillId="0" borderId="3" xfId="2" applyFont="1" applyFill="1" applyBorder="1" applyAlignment="1">
      <alignment horizontal="left" vertical="center"/>
    </xf>
    <xf numFmtId="9" fontId="3" fillId="0" borderId="4" xfId="2" applyFont="1" applyFill="1" applyBorder="1" applyAlignment="1">
      <alignment horizontal="left" vertical="center"/>
    </xf>
  </cellXfs>
  <cellStyles count="111">
    <cellStyle name="Comma" xfId="1" builtinId="3"/>
    <cellStyle name="Followed Hyperlink" xfId="43" builtinId="9" hidden="1"/>
    <cellStyle name="Followed Hyperlink" xfId="47" builtinId="9" hidden="1"/>
    <cellStyle name="Followed Hyperlink" xfId="51" builtinId="9" hidden="1"/>
    <cellStyle name="Followed Hyperlink" xfId="29" builtinId="9" hidden="1"/>
    <cellStyle name="Followed Hyperlink" xfId="93" builtinId="9" hidden="1"/>
    <cellStyle name="Followed Hyperlink" xfId="87" builtinId="9" hidden="1"/>
    <cellStyle name="Followed Hyperlink" xfId="99" builtinId="9" hidden="1"/>
    <cellStyle name="Followed Hyperlink" xfId="107" builtinId="9" hidden="1"/>
    <cellStyle name="Followed Hyperlink" xfId="79" builtinId="9" hidden="1"/>
    <cellStyle name="Followed Hyperlink" xfId="75" builtinId="9" hidden="1"/>
    <cellStyle name="Followed Hyperlink" xfId="71" builtinId="9" hidden="1"/>
    <cellStyle name="Followed Hyperlink" xfId="83" builtinId="9" hidden="1"/>
    <cellStyle name="Followed Hyperlink" xfId="95" builtinId="9" hidden="1"/>
    <cellStyle name="Followed Hyperlink" xfId="103" builtinId="9" hidden="1"/>
    <cellStyle name="Followed Hyperlink" xfId="91" builtinId="9" hidden="1"/>
    <cellStyle name="Followed Hyperlink" xfId="109" builtinId="9" hidden="1"/>
    <cellStyle name="Followed Hyperlink" xfId="77" builtinId="9" hidden="1"/>
    <cellStyle name="Followed Hyperlink" xfId="39" builtinId="9" hidden="1"/>
    <cellStyle name="Followed Hyperlink" xfId="53" builtinId="9" hidden="1"/>
    <cellStyle name="Followed Hyperlink" xfId="45" builtinId="9" hidden="1"/>
    <cellStyle name="Followed Hyperlink" xfId="37" builtinId="9" hidden="1"/>
    <cellStyle name="Followed Hyperlink" xfId="11" builtinId="9" hidden="1"/>
    <cellStyle name="Followed Hyperlink" xfId="17" builtinId="9" hidden="1"/>
    <cellStyle name="Followed Hyperlink" xfId="21" builtinId="9" hidden="1"/>
    <cellStyle name="Followed Hyperlink" xfId="25" builtinId="9" hidden="1"/>
    <cellStyle name="Followed Hyperlink" xfId="41" builtinId="9" hidden="1"/>
    <cellStyle name="Followed Hyperlink" xfId="57" builtinId="9" hidden="1"/>
    <cellStyle name="Followed Hyperlink" xfId="61" builtinId="9" hidden="1"/>
    <cellStyle name="Followed Hyperlink" xfId="55" builtinId="9" hidden="1"/>
    <cellStyle name="Followed Hyperlink" xfId="105" builtinId="9" hidden="1"/>
    <cellStyle name="Followed Hyperlink" xfId="97" builtinId="9" hidden="1"/>
    <cellStyle name="Followed Hyperlink" xfId="89" builtinId="9" hidden="1"/>
    <cellStyle name="Followed Hyperlink" xfId="85" builtinId="9" hidden="1"/>
    <cellStyle name="Followed Hyperlink" xfId="73" builtinId="9" hidden="1"/>
    <cellStyle name="Followed Hyperlink" xfId="69" builtinId="9" hidden="1"/>
    <cellStyle name="Followed Hyperlink" xfId="27" builtinId="9" hidden="1"/>
    <cellStyle name="Followed Hyperlink" xfId="35" builtinId="9" hidden="1"/>
    <cellStyle name="Followed Hyperlink" xfId="31" builtinId="9" hidden="1"/>
    <cellStyle name="Followed Hyperlink" xfId="81" builtinId="9" hidden="1"/>
    <cellStyle name="Followed Hyperlink" xfId="101" builtinId="9" hidden="1"/>
    <cellStyle name="Followed Hyperlink" xfId="67" builtinId="9" hidden="1"/>
    <cellStyle name="Followed Hyperlink" xfId="15" builtinId="9" hidden="1"/>
    <cellStyle name="Followed Hyperlink" xfId="5" builtinId="9" hidden="1"/>
    <cellStyle name="Followed Hyperlink" xfId="33" builtinId="9" hidden="1"/>
    <cellStyle name="Followed Hyperlink" xfId="13" builtinId="9" hidden="1"/>
    <cellStyle name="Followed Hyperlink" xfId="23" builtinId="9" hidden="1"/>
    <cellStyle name="Followed Hyperlink" xfId="9" builtinId="9" hidden="1"/>
    <cellStyle name="Followed Hyperlink" xfId="7" builtinId="9" hidden="1"/>
    <cellStyle name="Followed Hyperlink" xfId="19" builtinId="9" hidden="1"/>
    <cellStyle name="Followed Hyperlink" xfId="65" builtinId="9" hidden="1"/>
    <cellStyle name="Followed Hyperlink" xfId="49" builtinId="9" hidden="1"/>
    <cellStyle name="Followed Hyperlink" xfId="63" builtinId="9" hidden="1"/>
    <cellStyle name="Followed Hyperlink" xfId="59" builtinId="9" hidden="1"/>
    <cellStyle name="Hyperlink" xfId="76" builtinId="8" hidden="1"/>
    <cellStyle name="Hyperlink" xfId="30" builtinId="8" hidden="1"/>
    <cellStyle name="Hyperlink" xfId="32" builtinId="8" hidden="1"/>
    <cellStyle name="Hyperlink" xfId="34" builtinId="8" hidden="1"/>
    <cellStyle name="Hyperlink" xfId="40" builtinId="8" hidden="1"/>
    <cellStyle name="Hyperlink" xfId="42" builtinId="8" hidden="1"/>
    <cellStyle name="Hyperlink" xfId="38" builtinId="8" hidden="1"/>
    <cellStyle name="Hyperlink" xfId="80" builtinId="8" hidden="1"/>
    <cellStyle name="Hyperlink" xfId="82" builtinId="8" hidden="1"/>
    <cellStyle name="Hyperlink" xfId="86" builtinId="8" hidden="1"/>
    <cellStyle name="Hyperlink" xfId="90" builtinId="8" hidden="1"/>
    <cellStyle name="Hyperlink" xfId="94" builtinId="8" hidden="1"/>
    <cellStyle name="Hyperlink" xfId="96" builtinId="8" hidden="1"/>
    <cellStyle name="Hyperlink" xfId="74" builtinId="8" hidden="1"/>
    <cellStyle name="Hyperlink" xfId="78" builtinId="8" hidden="1"/>
    <cellStyle name="Hyperlink" xfId="72" builtinId="8" hidden="1"/>
    <cellStyle name="Hyperlink" xfId="64" builtinId="8" hidden="1"/>
    <cellStyle name="Hyperlink" xfId="66" builtinId="8" hidden="1"/>
    <cellStyle name="Hyperlink" xfId="70" builtinId="8" hidden="1"/>
    <cellStyle name="Hyperlink" xfId="88" builtinId="8" hidden="1"/>
    <cellStyle name="Hyperlink" xfId="92" builtinId="8" hidden="1"/>
    <cellStyle name="Hyperlink" xfId="36" builtinId="8" hidden="1"/>
    <cellStyle name="Hyperlink" xfId="68" builtinId="8" hidden="1"/>
    <cellStyle name="Hyperlink" xfId="10" builtinId="8" hidden="1"/>
    <cellStyle name="Hyperlink" xfId="14" builtinId="8" hidden="1"/>
    <cellStyle name="Hyperlink" xfId="12" builtinId="8" hidden="1"/>
    <cellStyle name="Hyperlink" xfId="4" builtinId="8" hidden="1"/>
    <cellStyle name="Hyperlink" xfId="6" builtinId="8" hidden="1"/>
    <cellStyle name="Hyperlink" xfId="8" builtinId="8" hidden="1"/>
    <cellStyle name="Hyperlink" xfId="44" builtinId="8" hidden="1"/>
    <cellStyle name="Hyperlink" xfId="56" builtinId="8" hidden="1"/>
    <cellStyle name="Hyperlink" xfId="48" builtinId="8" hidden="1"/>
    <cellStyle name="Hyperlink" xfId="98" builtinId="8" hidden="1"/>
    <cellStyle name="Hyperlink" xfId="102" builtinId="8" hidden="1"/>
    <cellStyle name="Hyperlink" xfId="104" builtinId="8" hidden="1"/>
    <cellStyle name="Hyperlink" xfId="106" builtinId="8" hidden="1"/>
    <cellStyle name="Hyperlink" xfId="100" builtinId="8" hidden="1"/>
    <cellStyle name="Hyperlink" xfId="84" builtinId="8" hidden="1"/>
    <cellStyle name="Hyperlink" xfId="108" builtinId="8" hidden="1"/>
    <cellStyle name="Hyperlink" xfId="20" builtinId="8" hidden="1"/>
    <cellStyle name="Hyperlink" xfId="60" builtinId="8" hidden="1"/>
    <cellStyle name="Hyperlink" xfId="28" builtinId="8" hidden="1"/>
    <cellStyle name="Hyperlink" xfId="16" builtinId="8" hidden="1"/>
    <cellStyle name="Hyperlink" xfId="18" builtinId="8" hidden="1"/>
    <cellStyle name="Hyperlink" xfId="22" builtinId="8" hidden="1"/>
    <cellStyle name="Hyperlink" xfId="24" builtinId="8" hidden="1"/>
    <cellStyle name="Hyperlink" xfId="26" builtinId="8" hidden="1"/>
    <cellStyle name="Hyperlink" xfId="52" builtinId="8" hidden="1"/>
    <cellStyle name="Hyperlink" xfId="58" builtinId="8" hidden="1"/>
    <cellStyle name="Hyperlink" xfId="62" builtinId="8" hidden="1"/>
    <cellStyle name="Hyperlink" xfId="54" builtinId="8" hidden="1"/>
    <cellStyle name="Hyperlink" xfId="50" builtinId="8" hidden="1"/>
    <cellStyle name="Hyperlink" xfId="46" builtinId="8" hidden="1"/>
    <cellStyle name="Normal" xfId="0" builtinId="0"/>
    <cellStyle name="Normal 2 3" xfId="3" xr:uid="{00000000-0005-0000-0000-00006C000000}"/>
    <cellStyle name="Normal 3" xfId="110" xr:uid="{00000000-0005-0000-0000-00006D000000}"/>
    <cellStyle name="Percent" xfId="2" builtinId="5"/>
  </cellStyles>
  <dxfs count="0"/>
  <tableStyles count="0" defaultTableStyle="TableStyleMedium2" defaultPivotStyle="PivotStyleLight16"/>
  <colors>
    <mruColors>
      <color rgb="FFFFFFCC"/>
      <color rgb="FF98116D"/>
      <color rgb="FFFFFF99"/>
      <color rgb="FF83037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3</xdr:col>
      <xdr:colOff>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3324225" cy="838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0</xdr:row>
          <xdr:rowOff>190500</xdr:rowOff>
        </xdr:from>
        <xdr:to>
          <xdr:col>23</xdr:col>
          <xdr:colOff>485775</xdr:colOff>
          <xdr:row>2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1</xdr:row>
          <xdr:rowOff>180975</xdr:rowOff>
        </xdr:from>
        <xdr:to>
          <xdr:col>23</xdr:col>
          <xdr:colOff>485775</xdr:colOff>
          <xdr:row>3</xdr:row>
          <xdr:rowOff>28575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BPO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2</xdr:row>
          <xdr:rowOff>171450</xdr:rowOff>
        </xdr:from>
        <xdr:to>
          <xdr:col>23</xdr:col>
          <xdr:colOff>485775</xdr:colOff>
          <xdr:row>4</xdr:row>
          <xdr:rowOff>38100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3</xdr:row>
          <xdr:rowOff>171450</xdr:rowOff>
        </xdr:from>
        <xdr:to>
          <xdr:col>23</xdr:col>
          <xdr:colOff>485775</xdr:colOff>
          <xdr:row>5</xdr:row>
          <xdr:rowOff>47625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PMI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0</xdr:row>
          <xdr:rowOff>133350</xdr:rowOff>
        </xdr:from>
        <xdr:to>
          <xdr:col>19</xdr:col>
          <xdr:colOff>504825</xdr:colOff>
          <xdr:row>1</xdr:row>
          <xdr:rowOff>180975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Procurement Bidding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1</xdr:row>
          <xdr:rowOff>133350</xdr:rowOff>
        </xdr:from>
        <xdr:to>
          <xdr:col>19</xdr:col>
          <xdr:colOff>504825</xdr:colOff>
          <xdr:row>2</xdr:row>
          <xdr:rowOff>171450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Closed Bidding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2</xdr:row>
          <xdr:rowOff>123825</xdr:rowOff>
        </xdr:from>
        <xdr:to>
          <xdr:col>19</xdr:col>
          <xdr:colOff>504825</xdr:colOff>
          <xdr:row>3</xdr:row>
          <xdr:rowOff>180975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E-Bidding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3</xdr:row>
          <xdr:rowOff>133350</xdr:rowOff>
        </xdr:from>
        <xdr:to>
          <xdr:col>19</xdr:col>
          <xdr:colOff>781050</xdr:colOff>
          <xdr:row>5</xdr:row>
          <xdr:rowOff>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Single/Sole Sourcing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171450</xdr:colOff>
          <xdr:row>4</xdr:row>
          <xdr:rowOff>133350</xdr:rowOff>
        </xdr:from>
        <xdr:to>
          <xdr:col>19</xdr:col>
          <xdr:colOff>504825</xdr:colOff>
          <xdr:row>6</xdr:row>
          <xdr:rowOff>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Direct BU Purchase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161925</xdr:colOff>
          <xdr:row>2</xdr:row>
          <xdr:rowOff>0</xdr:rowOff>
        </xdr:from>
        <xdr:to>
          <xdr:col>11</xdr:col>
          <xdr:colOff>1076325</xdr:colOff>
          <xdr:row>3</xdr:row>
          <xdr:rowOff>9525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Local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161925</xdr:colOff>
          <xdr:row>3</xdr:row>
          <xdr:rowOff>0</xdr:rowOff>
        </xdr:from>
        <xdr:to>
          <xdr:col>11</xdr:col>
          <xdr:colOff>1076325</xdr:colOff>
          <xdr:row>4</xdr:row>
          <xdr:rowOff>9525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Foreign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54"/>
  <sheetViews>
    <sheetView showGridLines="0" tabSelected="1" zoomScale="70" zoomScaleNormal="70" zoomScaleSheetLayoutView="59" zoomScalePageLayoutView="84" workbookViewId="0">
      <selection activeCell="B7" sqref="B7:B9"/>
    </sheetView>
  </sheetViews>
  <sheetFormatPr defaultColWidth="9.140625" defaultRowHeight="14.25" outlineLevelRow="1" outlineLevelCol="2"/>
  <cols>
    <col min="1" max="1" width="5.42578125" style="5" customWidth="1"/>
    <col min="2" max="2" width="12.85546875" style="5" customWidth="1"/>
    <col min="3" max="3" width="31.5703125" style="5" customWidth="1"/>
    <col min="4" max="4" width="11" style="5" customWidth="1"/>
    <col min="5" max="5" width="25.5703125" style="5" hidden="1" customWidth="1" outlineLevel="1"/>
    <col min="6" max="6" width="9.42578125" style="5" customWidth="1" collapsed="1"/>
    <col min="7" max="7" width="13.140625" style="5" customWidth="1"/>
    <col min="8" max="8" width="19.7109375" style="5" hidden="1" customWidth="1" outlineLevel="2"/>
    <col min="9" max="9" width="19.7109375" style="5" customWidth="1" outlineLevel="1" collapsed="1"/>
    <col min="10" max="10" width="19.7109375" style="5" customWidth="1" outlineLevel="1"/>
    <col min="11" max="11" width="19.28515625" style="5" customWidth="1"/>
    <col min="12" max="12" width="19.7109375" style="5" customWidth="1"/>
    <col min="13" max="13" width="19.5703125" style="5" hidden="1" customWidth="1" outlineLevel="2"/>
    <col min="14" max="14" width="22" style="5" hidden="1" customWidth="1" outlineLevel="2"/>
    <col min="15" max="15" width="19.42578125" style="5" hidden="1" customWidth="1" outlineLevel="2"/>
    <col min="16" max="16" width="22.7109375" style="5" hidden="1" customWidth="1" outlineLevel="2"/>
    <col min="17" max="17" width="19.7109375" style="5" hidden="1" customWidth="1" outlineLevel="1" collapsed="1"/>
    <col min="18" max="18" width="19.7109375" style="5" hidden="1" customWidth="1" outlineLevel="1"/>
    <col min="19" max="19" width="16.140625" style="5" customWidth="1" collapsed="1"/>
    <col min="20" max="20" width="19" style="5" customWidth="1"/>
    <col min="21" max="22" width="19.7109375" style="5" hidden="1" customWidth="1" outlineLevel="1"/>
    <col min="23" max="23" width="16.140625" style="5" customWidth="1" collapsed="1"/>
    <col min="24" max="24" width="19" style="5" customWidth="1"/>
    <col min="25" max="26" width="19.7109375" style="5" hidden="1" customWidth="1" outlineLevel="1"/>
    <col min="27" max="27" width="18" style="5" customWidth="1" collapsed="1"/>
    <col min="28" max="28" width="25.85546875" style="5" bestFit="1" customWidth="1"/>
    <col min="29" max="30" width="19.7109375" style="5" hidden="1" customWidth="1" outlineLevel="2"/>
    <col min="31" max="31" width="16.140625" style="5" hidden="1" customWidth="1" outlineLevel="1" collapsed="1"/>
    <col min="32" max="32" width="19" style="5" hidden="1" customWidth="1" outlineLevel="1"/>
    <col min="33" max="34" width="19.7109375" style="5" hidden="1" customWidth="1" outlineLevel="2"/>
    <col min="35" max="35" width="16.140625" style="5" hidden="1" customWidth="1" outlineLevel="1" collapsed="1"/>
    <col min="36" max="36" width="19" style="5" hidden="1" customWidth="1" outlineLevel="1"/>
    <col min="37" max="38" width="19.7109375" style="5" hidden="1" customWidth="1" outlineLevel="2"/>
    <col min="39" max="39" width="17.140625" style="5" hidden="1" customWidth="1" outlineLevel="1" collapsed="1"/>
    <col min="40" max="40" width="17.140625" style="123" hidden="1" customWidth="1" outlineLevel="1"/>
    <col min="41" max="41" width="8.140625" style="194" customWidth="1" collapsed="1"/>
    <col min="42" max="43" width="13.85546875" style="123" hidden="1" customWidth="1" outlineLevel="1"/>
    <col min="44" max="44" width="16.7109375" style="123" hidden="1" customWidth="1" outlineLevel="1"/>
    <col min="45" max="45" width="13.85546875" style="116" hidden="1" customWidth="1" outlineLevel="1"/>
    <col min="46" max="46" width="14" style="116" hidden="1" customWidth="1" outlineLevel="1"/>
    <col min="47" max="47" width="12" style="116" hidden="1" customWidth="1" outlineLevel="1"/>
    <col min="48" max="49" width="9.140625" style="5" hidden="1" customWidth="1" outlineLevel="1"/>
    <col min="50" max="50" width="9.140625" style="5" collapsed="1"/>
    <col min="51" max="16384" width="9.140625" style="5"/>
  </cols>
  <sheetData>
    <row r="1" spans="1:49" ht="15">
      <c r="A1" s="3"/>
      <c r="B1" s="3"/>
      <c r="C1" s="3"/>
      <c r="D1" s="205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3"/>
      <c r="S1" s="44" t="s">
        <v>1</v>
      </c>
      <c r="T1" s="3"/>
      <c r="V1" s="3"/>
      <c r="W1" s="44" t="s">
        <v>2</v>
      </c>
      <c r="X1" s="3"/>
      <c r="AA1" s="68" t="s">
        <v>3</v>
      </c>
      <c r="AB1" s="68" t="s">
        <v>4</v>
      </c>
      <c r="AC1" s="8"/>
      <c r="AD1" s="8"/>
      <c r="AE1" s="3"/>
      <c r="AF1" s="3"/>
      <c r="AG1" s="8"/>
      <c r="AH1" s="8"/>
      <c r="AI1" s="3"/>
      <c r="AJ1" s="3"/>
      <c r="AK1" s="8"/>
      <c r="AL1" s="8"/>
      <c r="AN1" s="194"/>
    </row>
    <row r="2" spans="1:49" s="4" customFormat="1" ht="15.75" customHeight="1">
      <c r="D2" s="2" t="s">
        <v>5</v>
      </c>
      <c r="F2" s="36"/>
      <c r="G2" s="8"/>
      <c r="H2" s="8"/>
      <c r="I2" s="8"/>
      <c r="L2" s="24" t="s">
        <v>6</v>
      </c>
      <c r="M2" s="24"/>
      <c r="N2" s="24"/>
      <c r="O2" s="45"/>
      <c r="P2" s="45"/>
      <c r="R2" s="45"/>
      <c r="S2" s="79"/>
      <c r="T2" s="70"/>
      <c r="W2" s="2"/>
      <c r="AA2" s="68" t="s">
        <v>7</v>
      </c>
      <c r="AB2" s="184" t="s">
        <v>8</v>
      </c>
      <c r="AC2" s="8"/>
      <c r="AD2" s="121"/>
      <c r="AG2" s="8"/>
      <c r="AH2" s="121"/>
      <c r="AK2" s="8"/>
      <c r="AL2" s="121"/>
      <c r="AM2" s="5"/>
      <c r="AN2" s="194"/>
      <c r="AO2" s="194"/>
      <c r="AP2" s="123"/>
      <c r="AQ2" s="123"/>
      <c r="AR2" s="123"/>
      <c r="AS2" s="124"/>
      <c r="AT2" s="124"/>
      <c r="AU2" s="124"/>
    </row>
    <row r="3" spans="1:49" s="4" customFormat="1" ht="15">
      <c r="D3" s="2" t="s">
        <v>9</v>
      </c>
      <c r="F3" s="8"/>
      <c r="G3" s="8"/>
      <c r="H3" s="8"/>
      <c r="I3" s="8"/>
      <c r="J3" s="24"/>
      <c r="L3" s="24"/>
      <c r="M3" s="24"/>
      <c r="N3" s="24"/>
      <c r="O3" s="24"/>
      <c r="P3" s="24"/>
      <c r="R3" s="71"/>
      <c r="S3" s="79"/>
      <c r="T3" s="72"/>
      <c r="W3" s="2"/>
      <c r="AA3" s="68" t="s">
        <v>10</v>
      </c>
      <c r="AB3" s="188">
        <v>45170</v>
      </c>
      <c r="AC3" s="8"/>
      <c r="AD3" s="122"/>
      <c r="AG3" s="8"/>
      <c r="AH3" s="122"/>
      <c r="AK3" s="8"/>
      <c r="AL3" s="122"/>
      <c r="AM3" s="5"/>
      <c r="AN3" s="194"/>
      <c r="AO3" s="194"/>
      <c r="AP3" s="123"/>
      <c r="AQ3" s="123"/>
      <c r="AR3" s="123"/>
      <c r="AS3" s="124"/>
      <c r="AT3" s="124"/>
      <c r="AU3" s="124"/>
    </row>
    <row r="4" spans="1:49" s="4" customFormat="1" ht="15">
      <c r="D4" s="2" t="s">
        <v>11</v>
      </c>
      <c r="F4" s="8"/>
      <c r="G4" s="8"/>
      <c r="H4" s="8"/>
      <c r="I4" s="8"/>
      <c r="J4" s="24"/>
      <c r="L4" s="24"/>
      <c r="M4" s="24"/>
      <c r="N4" s="24"/>
      <c r="O4" s="24"/>
      <c r="P4" s="24"/>
      <c r="R4" s="44"/>
      <c r="S4" s="79"/>
      <c r="T4" s="72"/>
      <c r="W4" s="2"/>
      <c r="AM4" s="5"/>
      <c r="AN4" s="194"/>
      <c r="AO4" s="194"/>
      <c r="AP4" s="123"/>
      <c r="AQ4" s="123"/>
      <c r="AR4" s="123"/>
      <c r="AS4" s="124"/>
      <c r="AT4" s="124"/>
      <c r="AU4" s="124"/>
    </row>
    <row r="5" spans="1:49" s="4" customFormat="1">
      <c r="D5" s="2" t="s">
        <v>12</v>
      </c>
      <c r="F5" s="39"/>
      <c r="G5" s="39"/>
      <c r="H5" s="39"/>
      <c r="I5" s="9"/>
      <c r="J5" s="72"/>
      <c r="L5" s="72"/>
      <c r="M5" s="72"/>
      <c r="N5" s="72"/>
      <c r="O5" s="72"/>
      <c r="P5" s="72"/>
      <c r="R5" s="72"/>
      <c r="S5" s="79"/>
      <c r="T5" s="42"/>
      <c r="W5" s="2"/>
      <c r="Y5" s="9"/>
      <c r="Z5" s="9"/>
      <c r="AC5" s="9"/>
      <c r="AD5" s="9"/>
      <c r="AG5" s="9"/>
      <c r="AH5" s="9"/>
      <c r="AK5" s="9"/>
      <c r="AL5" s="9"/>
      <c r="AM5" s="5"/>
      <c r="AN5" s="194"/>
      <c r="AO5" s="194"/>
      <c r="AP5" s="123"/>
      <c r="AQ5" s="123"/>
      <c r="AR5" s="123"/>
      <c r="AS5" s="124"/>
      <c r="AT5" s="124"/>
      <c r="AU5" s="124"/>
    </row>
    <row r="6" spans="1:49" s="4" customFormat="1" ht="15">
      <c r="D6" s="2" t="s">
        <v>13</v>
      </c>
      <c r="F6" s="40"/>
      <c r="G6" s="40"/>
      <c r="H6" s="40"/>
      <c r="I6" s="9"/>
      <c r="J6" s="9"/>
      <c r="K6" s="9"/>
      <c r="L6" s="9"/>
      <c r="M6" s="9"/>
      <c r="N6" s="9"/>
      <c r="O6" s="9"/>
      <c r="P6" s="9"/>
      <c r="R6" s="9"/>
      <c r="S6" s="79"/>
      <c r="T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5"/>
      <c r="AN6" s="194"/>
      <c r="AO6" s="194"/>
      <c r="AP6" s="123"/>
      <c r="AQ6" s="123"/>
      <c r="AR6" s="123"/>
      <c r="AS6" s="124"/>
      <c r="AT6" s="124"/>
      <c r="AU6" s="124"/>
    </row>
    <row r="7" spans="1:49" ht="15" customHeight="1">
      <c r="A7" s="242" t="s">
        <v>14</v>
      </c>
      <c r="B7" s="241" t="s">
        <v>15</v>
      </c>
      <c r="C7" s="245" t="s">
        <v>16</v>
      </c>
      <c r="D7" s="246"/>
      <c r="E7" s="241" t="s">
        <v>17</v>
      </c>
      <c r="F7" s="241" t="s">
        <v>18</v>
      </c>
      <c r="G7" s="241" t="s">
        <v>19</v>
      </c>
      <c r="H7" s="241" t="s">
        <v>20</v>
      </c>
      <c r="I7" s="245" t="s">
        <v>21</v>
      </c>
      <c r="J7" s="258"/>
      <c r="K7" s="258"/>
      <c r="L7" s="246"/>
      <c r="M7" s="245" t="s">
        <v>22</v>
      </c>
      <c r="N7" s="258"/>
      <c r="O7" s="258"/>
      <c r="P7" s="246"/>
      <c r="Q7" s="256" t="s">
        <v>23</v>
      </c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7"/>
      <c r="AO7" s="5"/>
      <c r="AS7" s="123"/>
      <c r="AT7" s="123"/>
      <c r="AV7" s="116"/>
      <c r="AW7" s="116"/>
    </row>
    <row r="8" spans="1:49" ht="15" customHeight="1">
      <c r="A8" s="243"/>
      <c r="B8" s="241"/>
      <c r="C8" s="247"/>
      <c r="D8" s="248"/>
      <c r="E8" s="241"/>
      <c r="F8" s="241"/>
      <c r="G8" s="241"/>
      <c r="H8" s="241"/>
      <c r="I8" s="249"/>
      <c r="J8" s="259"/>
      <c r="K8" s="259"/>
      <c r="L8" s="250"/>
      <c r="M8" s="249"/>
      <c r="N8" s="259"/>
      <c r="O8" s="259"/>
      <c r="P8" s="250"/>
      <c r="Q8" s="254" t="s">
        <v>24</v>
      </c>
      <c r="R8" s="254"/>
      <c r="S8" s="254"/>
      <c r="T8" s="255"/>
      <c r="U8" s="251" t="s">
        <v>25</v>
      </c>
      <c r="V8" s="252"/>
      <c r="W8" s="252"/>
      <c r="X8" s="253"/>
      <c r="Y8" s="251" t="s">
        <v>26</v>
      </c>
      <c r="Z8" s="252"/>
      <c r="AA8" s="252"/>
      <c r="AB8" s="253"/>
      <c r="AC8" s="251" t="s">
        <v>27</v>
      </c>
      <c r="AD8" s="252"/>
      <c r="AE8" s="252"/>
      <c r="AF8" s="253"/>
      <c r="AG8" s="251" t="s">
        <v>28</v>
      </c>
      <c r="AH8" s="252"/>
      <c r="AI8" s="252"/>
      <c r="AJ8" s="253"/>
      <c r="AK8" s="251" t="s">
        <v>29</v>
      </c>
      <c r="AL8" s="252"/>
      <c r="AM8" s="252"/>
      <c r="AN8" s="253"/>
      <c r="AO8" s="5"/>
      <c r="AP8" s="125" t="s">
        <v>30</v>
      </c>
      <c r="AS8" s="123"/>
      <c r="AT8" s="123"/>
      <c r="AV8" s="116"/>
      <c r="AW8" s="116"/>
    </row>
    <row r="9" spans="1:49" ht="45">
      <c r="A9" s="244"/>
      <c r="B9" s="241"/>
      <c r="C9" s="249"/>
      <c r="D9" s="250"/>
      <c r="E9" s="241"/>
      <c r="F9" s="241"/>
      <c r="G9" s="241"/>
      <c r="H9" s="241"/>
      <c r="I9" s="198" t="s">
        <v>30</v>
      </c>
      <c r="J9" s="196" t="s">
        <v>31</v>
      </c>
      <c r="K9" s="197" t="s">
        <v>32</v>
      </c>
      <c r="L9" s="197" t="s">
        <v>33</v>
      </c>
      <c r="M9" s="160" t="s">
        <v>30</v>
      </c>
      <c r="N9" s="160" t="s">
        <v>31</v>
      </c>
      <c r="O9" s="260" t="s">
        <v>34</v>
      </c>
      <c r="P9" s="255"/>
      <c r="Q9" s="160" t="s">
        <v>35</v>
      </c>
      <c r="R9" s="160" t="s">
        <v>36</v>
      </c>
      <c r="S9" s="162" t="s">
        <v>37</v>
      </c>
      <c r="T9" s="160" t="s">
        <v>38</v>
      </c>
      <c r="U9" s="161" t="s">
        <v>35</v>
      </c>
      <c r="V9" s="89" t="s">
        <v>36</v>
      </c>
      <c r="W9" s="161" t="s">
        <v>37</v>
      </c>
      <c r="X9" s="89" t="s">
        <v>38</v>
      </c>
      <c r="Y9" s="89" t="s">
        <v>35</v>
      </c>
      <c r="Z9" s="89" t="s">
        <v>36</v>
      </c>
      <c r="AA9" s="161" t="s">
        <v>37</v>
      </c>
      <c r="AB9" s="89" t="s">
        <v>38</v>
      </c>
      <c r="AC9" s="89" t="s">
        <v>35</v>
      </c>
      <c r="AD9" s="89" t="s">
        <v>36</v>
      </c>
      <c r="AE9" s="89" t="s">
        <v>37</v>
      </c>
      <c r="AF9" s="89" t="s">
        <v>38</v>
      </c>
      <c r="AG9" s="89" t="s">
        <v>35</v>
      </c>
      <c r="AH9" s="89" t="s">
        <v>36</v>
      </c>
      <c r="AI9" s="89" t="s">
        <v>37</v>
      </c>
      <c r="AJ9" s="89" t="s">
        <v>38</v>
      </c>
      <c r="AK9" s="89" t="s">
        <v>35</v>
      </c>
      <c r="AL9" s="89" t="s">
        <v>36</v>
      </c>
      <c r="AM9" s="89" t="s">
        <v>37</v>
      </c>
      <c r="AN9" s="89" t="s">
        <v>38</v>
      </c>
      <c r="AO9" s="5"/>
      <c r="AP9" s="123" t="str">
        <f>Q8</f>
        <v>Supplier 1</v>
      </c>
      <c r="AQ9" s="123" t="str">
        <f>U8</f>
        <v>Supplier 2</v>
      </c>
      <c r="AR9" s="123" t="str">
        <f>Y8</f>
        <v>Supplier 3</v>
      </c>
      <c r="AS9" s="123" t="str">
        <f>AC8</f>
        <v>Supplier 4</v>
      </c>
      <c r="AT9" s="123" t="str">
        <f>AG8</f>
        <v>Supplier 5</v>
      </c>
      <c r="AU9" s="116" t="str">
        <f>AK8</f>
        <v>Supplier 6</v>
      </c>
      <c r="AV9" s="116"/>
      <c r="AW9" s="116"/>
    </row>
    <row r="10" spans="1:49" s="21" customFormat="1" ht="69" customHeight="1">
      <c r="A10" s="27">
        <v>1</v>
      </c>
      <c r="B10" s="27"/>
      <c r="C10" s="63"/>
      <c r="D10" s="64"/>
      <c r="E10" s="35"/>
      <c r="F10" s="50"/>
      <c r="G10" s="28"/>
      <c r="H10" s="28"/>
      <c r="I10" s="195"/>
      <c r="J10" s="192">
        <f>$F10*$I10</f>
        <v>0</v>
      </c>
      <c r="K10" s="193">
        <f>$I10*$D$16</f>
        <v>0</v>
      </c>
      <c r="L10" s="193">
        <f>$K10*$F10</f>
        <v>0</v>
      </c>
      <c r="M10" s="142">
        <f>IFERROR(SMALL(AP10:AU10,COUNTIF(AP10:AU10,0)+1),0)</f>
        <v>0</v>
      </c>
      <c r="N10" s="92">
        <f>IFERROR(M10*$F10,0)</f>
        <v>0</v>
      </c>
      <c r="O10" s="261" t="str">
        <f>INDEX($AP$9:$AU$9,MATCH(M10,AP10:AU10,0))</f>
        <v>Supplier 1</v>
      </c>
      <c r="P10" s="262"/>
      <c r="Q10" s="30"/>
      <c r="R10" s="143">
        <f>IFERROR($F10*Q10,0)</f>
        <v>0</v>
      </c>
      <c r="S10" s="153">
        <f>IFERROR(Q10*$D$16,0)</f>
        <v>0</v>
      </c>
      <c r="T10" s="92">
        <f t="shared" ref="T10:T11" si="0">IFERROR(S10*$F10,0)</f>
        <v>0</v>
      </c>
      <c r="U10" s="61"/>
      <c r="V10" s="143">
        <f t="shared" ref="V10:V13" si="1">IFERROR($F10*U10,0)</f>
        <v>0</v>
      </c>
      <c r="W10" s="153">
        <f>IFERROR(U10*$D$16,0)</f>
        <v>0</v>
      </c>
      <c r="X10" s="92">
        <f>IFERROR(W10*$F10,0)</f>
        <v>0</v>
      </c>
      <c r="Y10" s="61"/>
      <c r="Z10" s="143">
        <f>IFERROR($F10*Y10,0)</f>
        <v>0</v>
      </c>
      <c r="AA10" s="153">
        <f>IFERROR(Y10*$D$16,0)</f>
        <v>0</v>
      </c>
      <c r="AB10" s="92">
        <f>IFERROR(AA10*$F10,0)</f>
        <v>0</v>
      </c>
      <c r="AC10" s="61"/>
      <c r="AD10" s="143">
        <f>IFERROR($F10*AC10,0)</f>
        <v>0</v>
      </c>
      <c r="AE10" s="153">
        <f>IFERROR(AC10*$D$16,0)</f>
        <v>0</v>
      </c>
      <c r="AF10" s="92">
        <f>IFERROR(AE10*$F10,0)</f>
        <v>0</v>
      </c>
      <c r="AG10" s="61"/>
      <c r="AH10" s="143">
        <f>$F10*AG10</f>
        <v>0</v>
      </c>
      <c r="AI10" s="31">
        <f>IFERROR(AG10*$D$16,0)</f>
        <v>0</v>
      </c>
      <c r="AJ10" s="92">
        <f>AI10*$F10</f>
        <v>0</v>
      </c>
      <c r="AK10" s="61"/>
      <c r="AL10" s="143">
        <f>IFERROR($F10*AK10,0)</f>
        <v>0</v>
      </c>
      <c r="AM10" s="153">
        <f>IFERROR(AK10*$D$16,0)</f>
        <v>0</v>
      </c>
      <c r="AN10" s="92">
        <f>IFERROR(AM10*$F10,0)</f>
        <v>0</v>
      </c>
      <c r="AP10" s="126">
        <f>S10</f>
        <v>0</v>
      </c>
      <c r="AQ10" s="126">
        <f>W10</f>
        <v>0</v>
      </c>
      <c r="AR10" s="126">
        <f>AA10</f>
        <v>0</v>
      </c>
      <c r="AS10" s="126">
        <f>AE10</f>
        <v>0</v>
      </c>
      <c r="AT10" s="126">
        <f>AI10</f>
        <v>0</v>
      </c>
      <c r="AU10" s="127">
        <f>AM10</f>
        <v>0</v>
      </c>
      <c r="AV10" s="127"/>
      <c r="AW10" s="127"/>
    </row>
    <row r="11" spans="1:49" s="21" customFormat="1" ht="69" customHeight="1">
      <c r="A11" s="27">
        <v>2</v>
      </c>
      <c r="B11" s="27"/>
      <c r="C11" s="63"/>
      <c r="D11" s="64"/>
      <c r="E11" s="35"/>
      <c r="F11" s="50"/>
      <c r="G11" s="28"/>
      <c r="H11" s="28"/>
      <c r="I11" s="195"/>
      <c r="J11" s="192">
        <f t="shared" ref="J11:J13" si="2">$F11*$I11</f>
        <v>0</v>
      </c>
      <c r="K11" s="193">
        <f t="shared" ref="K11:K13" si="3">$I11*$D$16</f>
        <v>0</v>
      </c>
      <c r="L11" s="193">
        <f t="shared" ref="L11:L13" si="4">$K11*$F11</f>
        <v>0</v>
      </c>
      <c r="M11" s="142">
        <f t="shared" ref="M11:M13" si="5">IFERROR(SMALL(AP11:AU11,COUNTIF(AP11:AU11,0)+1),0)</f>
        <v>0</v>
      </c>
      <c r="N11" s="92">
        <f t="shared" ref="N11:N13" si="6">IFERROR(M11*$F11,0)</f>
        <v>0</v>
      </c>
      <c r="O11" s="261" t="str">
        <f>INDEX($AP$9:$AU$9,MATCH(M11,AP11:AU11,0))</f>
        <v>Supplier 1</v>
      </c>
      <c r="P11" s="262"/>
      <c r="Q11" s="30"/>
      <c r="R11" s="143">
        <f t="shared" ref="R11:R13" si="7">IFERROR($F11*Q11,0)</f>
        <v>0</v>
      </c>
      <c r="S11" s="153">
        <f t="shared" ref="S11:S13" si="8">IFERROR(Q11*$D$16,0)</f>
        <v>0</v>
      </c>
      <c r="T11" s="92">
        <f t="shared" si="0"/>
        <v>0</v>
      </c>
      <c r="U11" s="61"/>
      <c r="V11" s="143">
        <f t="shared" si="1"/>
        <v>0</v>
      </c>
      <c r="W11" s="153">
        <f t="shared" ref="W11:W13" si="9">IFERROR(U11*$D$16,0)</f>
        <v>0</v>
      </c>
      <c r="X11" s="92">
        <f t="shared" ref="X11:X13" si="10">IFERROR(W11*$F11,0)</f>
        <v>0</v>
      </c>
      <c r="Y11" s="61"/>
      <c r="Z11" s="143">
        <f t="shared" ref="Z11:Z13" si="11">IFERROR($F11*Y11,0)</f>
        <v>0</v>
      </c>
      <c r="AA11" s="153">
        <f>IFERROR(Y11*$D$16,0)</f>
        <v>0</v>
      </c>
      <c r="AB11" s="92">
        <f t="shared" ref="AB11:AB13" si="12">IFERROR(AA11*$F11,0)</f>
        <v>0</v>
      </c>
      <c r="AC11" s="61"/>
      <c r="AD11" s="143">
        <f t="shared" ref="AD11:AD13" si="13">IFERROR($F11*AC11,0)</f>
        <v>0</v>
      </c>
      <c r="AE11" s="153">
        <f>IFERROR(AC11*$D$16,0)</f>
        <v>0</v>
      </c>
      <c r="AF11" s="92">
        <f t="shared" ref="AF11:AF13" si="14">IFERROR(AE11*$F11,0)</f>
        <v>0</v>
      </c>
      <c r="AG11" s="61"/>
      <c r="AH11" s="143">
        <f t="shared" ref="AH11:AH13" si="15">$F11*AG11</f>
        <v>0</v>
      </c>
      <c r="AI11" s="31">
        <f>IFERROR(AG11*$D$16,0)</f>
        <v>0</v>
      </c>
      <c r="AJ11" s="92">
        <f t="shared" ref="AJ11:AJ13" si="16">AI11*$F11</f>
        <v>0</v>
      </c>
      <c r="AK11" s="61"/>
      <c r="AL11" s="143">
        <f t="shared" ref="AL11:AL13" si="17">IFERROR($F11*AK11,0)</f>
        <v>0</v>
      </c>
      <c r="AM11" s="153">
        <f>IFERROR(AK11*$D$16,0)</f>
        <v>0</v>
      </c>
      <c r="AN11" s="92">
        <f t="shared" ref="AN11:AN13" si="18">IFERROR(AM11*$F11,0)</f>
        <v>0</v>
      </c>
      <c r="AP11" s="126">
        <f t="shared" ref="AP11:AP13" si="19">S11</f>
        <v>0</v>
      </c>
      <c r="AQ11" s="126">
        <f t="shared" ref="AQ11:AQ13" si="20">W11</f>
        <v>0</v>
      </c>
      <c r="AR11" s="126">
        <f t="shared" ref="AR11:AR13" si="21">AA11</f>
        <v>0</v>
      </c>
      <c r="AS11" s="126">
        <f t="shared" ref="AS11:AS13" si="22">AE11</f>
        <v>0</v>
      </c>
      <c r="AT11" s="126">
        <f t="shared" ref="AT11:AT13" si="23">AI11</f>
        <v>0</v>
      </c>
      <c r="AU11" s="127">
        <f t="shared" ref="AU11:AU13" si="24">AM11</f>
        <v>0</v>
      </c>
      <c r="AV11" s="127"/>
      <c r="AW11" s="127"/>
    </row>
    <row r="12" spans="1:49" s="21" customFormat="1" ht="69" customHeight="1">
      <c r="A12" s="27">
        <v>3</v>
      </c>
      <c r="B12" s="27"/>
      <c r="C12" s="63"/>
      <c r="D12" s="64"/>
      <c r="E12" s="35"/>
      <c r="F12" s="50"/>
      <c r="G12" s="28"/>
      <c r="H12" s="28"/>
      <c r="I12" s="195"/>
      <c r="J12" s="192">
        <f t="shared" si="2"/>
        <v>0</v>
      </c>
      <c r="K12" s="193">
        <f t="shared" si="3"/>
        <v>0</v>
      </c>
      <c r="L12" s="193">
        <f t="shared" si="4"/>
        <v>0</v>
      </c>
      <c r="M12" s="142">
        <f t="shared" si="5"/>
        <v>0</v>
      </c>
      <c r="N12" s="92">
        <f t="shared" si="6"/>
        <v>0</v>
      </c>
      <c r="O12" s="261" t="str">
        <f>INDEX($AP$9:$AU$9,MATCH(M12,AP12:AU12,0))</f>
        <v>Supplier 1</v>
      </c>
      <c r="P12" s="262"/>
      <c r="Q12" s="30"/>
      <c r="R12" s="143">
        <f t="shared" si="7"/>
        <v>0</v>
      </c>
      <c r="S12" s="153">
        <f t="shared" si="8"/>
        <v>0</v>
      </c>
      <c r="T12" s="92">
        <f t="shared" ref="T12:T13" si="25">IFERROR(S12*$F12,0)</f>
        <v>0</v>
      </c>
      <c r="U12" s="61"/>
      <c r="V12" s="143">
        <f t="shared" si="1"/>
        <v>0</v>
      </c>
      <c r="W12" s="153">
        <f t="shared" si="9"/>
        <v>0</v>
      </c>
      <c r="X12" s="92">
        <f t="shared" si="10"/>
        <v>0</v>
      </c>
      <c r="Y12" s="61"/>
      <c r="Z12" s="143">
        <f t="shared" si="11"/>
        <v>0</v>
      </c>
      <c r="AA12" s="153">
        <f>IFERROR(Y12*$D$16,0)</f>
        <v>0</v>
      </c>
      <c r="AB12" s="92">
        <f t="shared" si="12"/>
        <v>0</v>
      </c>
      <c r="AC12" s="61"/>
      <c r="AD12" s="143">
        <f t="shared" si="13"/>
        <v>0</v>
      </c>
      <c r="AE12" s="153">
        <f>IFERROR(AC12*$D$16,0)</f>
        <v>0</v>
      </c>
      <c r="AF12" s="92">
        <f t="shared" si="14"/>
        <v>0</v>
      </c>
      <c r="AG12" s="61"/>
      <c r="AH12" s="143">
        <f t="shared" si="15"/>
        <v>0</v>
      </c>
      <c r="AI12" s="31">
        <f>IFERROR(AG12*$D$16,0)</f>
        <v>0</v>
      </c>
      <c r="AJ12" s="92">
        <f t="shared" si="16"/>
        <v>0</v>
      </c>
      <c r="AK12" s="61"/>
      <c r="AL12" s="143">
        <f t="shared" si="17"/>
        <v>0</v>
      </c>
      <c r="AM12" s="153">
        <f>IFERROR(AK12*$D$16,0)</f>
        <v>0</v>
      </c>
      <c r="AN12" s="92">
        <f t="shared" si="18"/>
        <v>0</v>
      </c>
      <c r="AP12" s="126">
        <f t="shared" si="19"/>
        <v>0</v>
      </c>
      <c r="AQ12" s="126">
        <f t="shared" si="20"/>
        <v>0</v>
      </c>
      <c r="AR12" s="126">
        <f t="shared" si="21"/>
        <v>0</v>
      </c>
      <c r="AS12" s="126">
        <f t="shared" si="22"/>
        <v>0</v>
      </c>
      <c r="AT12" s="126">
        <f t="shared" si="23"/>
        <v>0</v>
      </c>
      <c r="AU12" s="127">
        <f t="shared" si="24"/>
        <v>0</v>
      </c>
      <c r="AV12" s="127"/>
      <c r="AW12" s="127"/>
    </row>
    <row r="13" spans="1:49" s="21" customFormat="1" ht="69" customHeight="1">
      <c r="A13" s="27">
        <v>4</v>
      </c>
      <c r="B13" s="27"/>
      <c r="C13" s="63"/>
      <c r="D13" s="64"/>
      <c r="E13" s="35"/>
      <c r="F13" s="50"/>
      <c r="G13" s="28"/>
      <c r="H13" s="28"/>
      <c r="I13" s="195"/>
      <c r="J13" s="192">
        <f t="shared" si="2"/>
        <v>0</v>
      </c>
      <c r="K13" s="193">
        <f t="shared" si="3"/>
        <v>0</v>
      </c>
      <c r="L13" s="193">
        <f t="shared" si="4"/>
        <v>0</v>
      </c>
      <c r="M13" s="142">
        <f t="shared" si="5"/>
        <v>0</v>
      </c>
      <c r="N13" s="92">
        <f t="shared" si="6"/>
        <v>0</v>
      </c>
      <c r="O13" s="261" t="str">
        <f>INDEX($AP$9:$AU$9,MATCH(M13,AP13:AU13,0))</f>
        <v>Supplier 1</v>
      </c>
      <c r="P13" s="262"/>
      <c r="Q13" s="30"/>
      <c r="R13" s="143">
        <f t="shared" si="7"/>
        <v>0</v>
      </c>
      <c r="S13" s="153">
        <f t="shared" si="8"/>
        <v>0</v>
      </c>
      <c r="T13" s="92">
        <f t="shared" si="25"/>
        <v>0</v>
      </c>
      <c r="U13" s="61"/>
      <c r="V13" s="143">
        <f t="shared" si="1"/>
        <v>0</v>
      </c>
      <c r="W13" s="153">
        <f t="shared" si="9"/>
        <v>0</v>
      </c>
      <c r="X13" s="92">
        <f t="shared" si="10"/>
        <v>0</v>
      </c>
      <c r="Y13" s="61"/>
      <c r="Z13" s="143">
        <f t="shared" si="11"/>
        <v>0</v>
      </c>
      <c r="AA13" s="153">
        <f>IFERROR(Y13*$D$16,0)</f>
        <v>0</v>
      </c>
      <c r="AB13" s="92">
        <f t="shared" si="12"/>
        <v>0</v>
      </c>
      <c r="AC13" s="61"/>
      <c r="AD13" s="143">
        <f t="shared" si="13"/>
        <v>0</v>
      </c>
      <c r="AE13" s="153">
        <f>IFERROR(AC13*$D$16,0)</f>
        <v>0</v>
      </c>
      <c r="AF13" s="92">
        <f t="shared" si="14"/>
        <v>0</v>
      </c>
      <c r="AG13" s="61"/>
      <c r="AH13" s="143">
        <f t="shared" si="15"/>
        <v>0</v>
      </c>
      <c r="AI13" s="31">
        <f>IFERROR(AG13*$D$16,0)</f>
        <v>0</v>
      </c>
      <c r="AJ13" s="92">
        <f t="shared" si="16"/>
        <v>0</v>
      </c>
      <c r="AK13" s="61"/>
      <c r="AL13" s="143">
        <f t="shared" si="17"/>
        <v>0</v>
      </c>
      <c r="AM13" s="153">
        <f>IFERROR(AK13*$D$16,0)</f>
        <v>0</v>
      </c>
      <c r="AN13" s="92">
        <f t="shared" si="18"/>
        <v>0</v>
      </c>
      <c r="AP13" s="126">
        <f t="shared" si="19"/>
        <v>0</v>
      </c>
      <c r="AQ13" s="126">
        <f t="shared" si="20"/>
        <v>0</v>
      </c>
      <c r="AR13" s="126">
        <f t="shared" si="21"/>
        <v>0</v>
      </c>
      <c r="AS13" s="126">
        <f t="shared" si="22"/>
        <v>0</v>
      </c>
      <c r="AT13" s="126">
        <f t="shared" si="23"/>
        <v>0</v>
      </c>
      <c r="AU13" s="127">
        <f t="shared" si="24"/>
        <v>0</v>
      </c>
      <c r="AV13" s="127"/>
      <c r="AW13" s="127"/>
    </row>
    <row r="14" spans="1:49" s="29" customFormat="1" ht="10.5" customHeight="1">
      <c r="A14" s="97"/>
      <c r="B14" s="98"/>
      <c r="C14" s="99"/>
      <c r="D14" s="99"/>
      <c r="E14" s="99"/>
      <c r="F14" s="99"/>
      <c r="G14" s="100"/>
      <c r="H14" s="101"/>
      <c r="I14" s="102"/>
      <c r="J14" s="103"/>
      <c r="K14" s="103"/>
      <c r="L14" s="103"/>
      <c r="M14" s="102"/>
      <c r="N14" s="103"/>
      <c r="O14" s="163"/>
      <c r="P14" s="163"/>
      <c r="Q14" s="164"/>
      <c r="R14" s="105"/>
      <c r="S14" s="104"/>
      <c r="T14" s="105"/>
      <c r="U14" s="108"/>
      <c r="V14" s="107"/>
      <c r="W14" s="108"/>
      <c r="X14" s="107"/>
      <c r="Y14" s="108"/>
      <c r="Z14" s="108"/>
      <c r="AA14" s="106"/>
      <c r="AB14" s="107"/>
      <c r="AC14" s="108"/>
      <c r="AD14" s="108"/>
      <c r="AE14" s="106"/>
      <c r="AF14" s="107"/>
      <c r="AG14" s="108"/>
      <c r="AH14" s="108"/>
      <c r="AI14" s="106"/>
      <c r="AJ14" s="107"/>
      <c r="AK14" s="108"/>
      <c r="AL14" s="108"/>
      <c r="AM14" s="106"/>
      <c r="AN14" s="107"/>
      <c r="AP14" s="128"/>
      <c r="AQ14" s="128"/>
      <c r="AR14" s="128"/>
      <c r="AS14" s="128"/>
      <c r="AT14" s="128"/>
      <c r="AU14" s="129"/>
      <c r="AV14" s="129"/>
      <c r="AW14" s="129"/>
    </row>
    <row r="15" spans="1:49" s="21" customFormat="1" ht="29.25" customHeight="1">
      <c r="A15" s="90"/>
      <c r="B15" s="91"/>
      <c r="C15" s="114"/>
      <c r="D15" s="114"/>
      <c r="E15" s="114"/>
      <c r="F15" s="114"/>
      <c r="G15" s="148" t="s">
        <v>39</v>
      </c>
      <c r="H15" s="109">
        <f>SUM(H10:H13)</f>
        <v>0</v>
      </c>
      <c r="I15" s="276">
        <f>SUM(J10:J13)</f>
        <v>0</v>
      </c>
      <c r="J15" s="277"/>
      <c r="K15" s="278">
        <f>SUM(L10:L13)</f>
        <v>0</v>
      </c>
      <c r="L15" s="279"/>
      <c r="M15" s="274">
        <f>SUM(N10:N13)</f>
        <v>0</v>
      </c>
      <c r="N15" s="275"/>
      <c r="O15" s="96"/>
      <c r="P15" s="168"/>
      <c r="Q15" s="272">
        <f>SUM(R10:R14)</f>
        <v>0</v>
      </c>
      <c r="R15" s="273"/>
      <c r="S15" s="274">
        <f>SUM(T10:T14)</f>
        <v>0</v>
      </c>
      <c r="T15" s="275"/>
      <c r="U15" s="272">
        <f>SUM(V10:V14)</f>
        <v>0</v>
      </c>
      <c r="V15" s="273"/>
      <c r="W15" s="272">
        <f>SUM(X10:X14)</f>
        <v>0</v>
      </c>
      <c r="X15" s="273"/>
      <c r="Y15" s="272">
        <f>SUM(Z10:Z14)</f>
        <v>0</v>
      </c>
      <c r="Z15" s="273"/>
      <c r="AA15" s="274">
        <f>SUM(AB10:AB14)</f>
        <v>0</v>
      </c>
      <c r="AB15" s="275"/>
      <c r="AC15" s="272">
        <f>SUM(AD10:AD14)</f>
        <v>0</v>
      </c>
      <c r="AD15" s="273"/>
      <c r="AE15" s="274">
        <f>SUM(AF10:AF14)</f>
        <v>0</v>
      </c>
      <c r="AF15" s="275"/>
      <c r="AG15" s="272">
        <f>SUM(AH10:AH14)</f>
        <v>0</v>
      </c>
      <c r="AH15" s="273"/>
      <c r="AI15" s="274">
        <f>SUM(AJ10:AJ14)</f>
        <v>0</v>
      </c>
      <c r="AJ15" s="275"/>
      <c r="AK15" s="272">
        <f>SUM(AL10:AL14)</f>
        <v>0</v>
      </c>
      <c r="AL15" s="273"/>
      <c r="AM15" s="274">
        <f>SUM(AN10:AN14)</f>
        <v>0</v>
      </c>
      <c r="AN15" s="275"/>
      <c r="AP15" s="126"/>
      <c r="AQ15" s="126"/>
      <c r="AR15" s="126"/>
      <c r="AS15" s="126"/>
      <c r="AT15" s="126"/>
      <c r="AU15" s="127"/>
      <c r="AV15" s="127"/>
      <c r="AW15" s="127"/>
    </row>
    <row r="16" spans="1:49" s="21" customFormat="1" ht="20.25" customHeight="1">
      <c r="A16" s="11"/>
      <c r="B16" s="11"/>
      <c r="C16" s="77" t="s">
        <v>40</v>
      </c>
      <c r="D16" s="31">
        <v>1</v>
      </c>
      <c r="F16" s="53"/>
      <c r="G16" s="13"/>
      <c r="H16" s="13"/>
      <c r="I16" s="14"/>
      <c r="J16" s="14"/>
      <c r="K16" s="14"/>
      <c r="L16" s="73" t="s">
        <v>41</v>
      </c>
      <c r="M16" s="270"/>
      <c r="N16" s="271"/>
      <c r="O16" s="199"/>
      <c r="P16" s="173"/>
      <c r="Q16" s="280"/>
      <c r="R16" s="271"/>
      <c r="S16" s="280"/>
      <c r="T16" s="271"/>
      <c r="U16" s="280"/>
      <c r="V16" s="271"/>
      <c r="W16" s="280"/>
      <c r="X16" s="271"/>
      <c r="Y16" s="280"/>
      <c r="Z16" s="271"/>
      <c r="AA16" s="280"/>
      <c r="AB16" s="271"/>
      <c r="AC16" s="280"/>
      <c r="AD16" s="271"/>
      <c r="AE16" s="280"/>
      <c r="AF16" s="271"/>
      <c r="AG16" s="280"/>
      <c r="AH16" s="271"/>
      <c r="AI16" s="280"/>
      <c r="AJ16" s="271"/>
      <c r="AK16" s="280"/>
      <c r="AL16" s="271"/>
      <c r="AM16" s="280"/>
      <c r="AN16" s="271"/>
      <c r="AP16" s="126"/>
      <c r="AQ16" s="126"/>
      <c r="AR16" s="126"/>
      <c r="AS16" s="126"/>
      <c r="AT16" s="126"/>
      <c r="AU16" s="127"/>
      <c r="AV16" s="127" t="s">
        <v>42</v>
      </c>
      <c r="AW16" s="127"/>
    </row>
    <row r="17" spans="1:49" s="84" customFormat="1" ht="29.25" customHeight="1">
      <c r="A17" s="81"/>
      <c r="C17" s="78" t="s">
        <v>43</v>
      </c>
      <c r="D17" s="154"/>
      <c r="E17" s="82"/>
      <c r="F17" s="82"/>
      <c r="G17" s="83"/>
      <c r="H17" s="83"/>
      <c r="I17" s="13"/>
      <c r="J17" s="13"/>
      <c r="K17" s="13"/>
      <c r="L17" s="185" t="s">
        <v>44</v>
      </c>
      <c r="M17" s="266">
        <f>M15+M16</f>
        <v>0</v>
      </c>
      <c r="N17" s="267"/>
      <c r="O17" s="169"/>
      <c r="P17" s="170"/>
      <c r="Q17" s="272">
        <f>Q15+Q16</f>
        <v>0</v>
      </c>
      <c r="R17" s="273"/>
      <c r="S17" s="266">
        <f>S15+S16</f>
        <v>0</v>
      </c>
      <c r="T17" s="267"/>
      <c r="U17" s="272">
        <f>U15+U16</f>
        <v>0</v>
      </c>
      <c r="V17" s="273"/>
      <c r="W17" s="266">
        <f>W15+W16</f>
        <v>0</v>
      </c>
      <c r="X17" s="267"/>
      <c r="Y17" s="272">
        <f>Y15+Y16</f>
        <v>0</v>
      </c>
      <c r="Z17" s="273"/>
      <c r="AA17" s="266">
        <f>AA15+AA16</f>
        <v>0</v>
      </c>
      <c r="AB17" s="267"/>
      <c r="AC17" s="272">
        <f>AC15+AC16</f>
        <v>0</v>
      </c>
      <c r="AD17" s="273"/>
      <c r="AE17" s="266">
        <f>AE15+AE16</f>
        <v>0</v>
      </c>
      <c r="AF17" s="267"/>
      <c r="AG17" s="272">
        <f>AG15+AG16</f>
        <v>0</v>
      </c>
      <c r="AH17" s="273"/>
      <c r="AI17" s="266">
        <f>AI15+AI16</f>
        <v>0</v>
      </c>
      <c r="AJ17" s="267"/>
      <c r="AK17" s="272">
        <f>AK15+AK16</f>
        <v>0</v>
      </c>
      <c r="AL17" s="273"/>
      <c r="AM17" s="266">
        <f>AM15+AM16</f>
        <v>0</v>
      </c>
      <c r="AN17" s="267"/>
      <c r="AP17" s="149">
        <f>S17</f>
        <v>0</v>
      </c>
      <c r="AQ17" s="149">
        <f>W17</f>
        <v>0</v>
      </c>
      <c r="AR17" s="149">
        <f>AA17</f>
        <v>0</v>
      </c>
      <c r="AS17" s="149">
        <f>AE17</f>
        <v>0</v>
      </c>
      <c r="AT17" s="149">
        <f>AI17</f>
        <v>0</v>
      </c>
      <c r="AU17" s="150">
        <f>AM17</f>
        <v>0</v>
      </c>
      <c r="AV17" s="151" t="str">
        <f>IFERROR(SMALL(AP17:AU17,COUNTIF(AP17:AU17,0)+1),"")</f>
        <v/>
      </c>
      <c r="AW17" s="152" t="str">
        <f>IFERROR(INDEX(AP9:AU9,MATCH(AV17,AP17:AU17,0)),"")</f>
        <v/>
      </c>
    </row>
    <row r="18" spans="1:49" s="21" customFormat="1" ht="9" customHeight="1">
      <c r="A18" s="11"/>
      <c r="B18" s="11"/>
      <c r="C18" s="34"/>
      <c r="D18" s="34"/>
      <c r="E18" s="34"/>
      <c r="F18" s="34"/>
      <c r="G18" s="13"/>
      <c r="H18" s="13"/>
      <c r="I18" s="13"/>
      <c r="J18" s="13"/>
      <c r="K18" s="13"/>
      <c r="L18" s="37"/>
      <c r="M18" s="56"/>
      <c r="O18" s="37"/>
      <c r="Q18" s="191"/>
      <c r="R18" s="110"/>
      <c r="S18" s="111"/>
      <c r="T18" s="165"/>
      <c r="U18" s="110"/>
      <c r="V18" s="110"/>
      <c r="W18" s="56"/>
      <c r="Y18" s="110"/>
      <c r="Z18" s="110"/>
      <c r="AA18" s="56"/>
      <c r="AB18" s="56"/>
      <c r="AC18" s="110"/>
      <c r="AD18" s="110"/>
      <c r="AE18" s="56"/>
      <c r="AF18" s="56"/>
      <c r="AG18" s="110"/>
      <c r="AH18" s="110"/>
      <c r="AI18" s="56"/>
      <c r="AJ18" s="56"/>
      <c r="AK18" s="110"/>
      <c r="AL18" s="110"/>
      <c r="AM18" s="56"/>
      <c r="AN18" s="56"/>
      <c r="AP18" s="126"/>
      <c r="AQ18" s="126"/>
      <c r="AR18" s="126"/>
      <c r="AS18" s="126"/>
      <c r="AT18" s="126"/>
      <c r="AU18" s="127"/>
      <c r="AV18" s="127"/>
      <c r="AW18" s="127"/>
    </row>
    <row r="19" spans="1:49" s="84" customFormat="1" ht="22.5" customHeight="1">
      <c r="A19" s="81"/>
      <c r="B19" s="81"/>
      <c r="C19" s="82"/>
      <c r="D19" s="82"/>
      <c r="E19" s="82"/>
      <c r="F19" s="82"/>
      <c r="G19" s="83"/>
      <c r="H19" s="83"/>
      <c r="I19" s="13"/>
      <c r="J19" s="13"/>
      <c r="K19" s="13"/>
      <c r="L19" s="147" t="s">
        <v>45</v>
      </c>
      <c r="M19" s="266">
        <f>(IF(M32="VAT Inclusive",M15*0.12,0))+M15</f>
        <v>0</v>
      </c>
      <c r="N19" s="267"/>
      <c r="O19" s="169"/>
      <c r="P19" s="170"/>
      <c r="Q19" s="272">
        <f>(IF(Q32="VAT Inclusive",Q15*0.12,0))+Q15</f>
        <v>0</v>
      </c>
      <c r="R19" s="273"/>
      <c r="S19" s="266">
        <f>(IF(Q32="VAT Inclusive",S15*0.12,0))+S15</f>
        <v>0</v>
      </c>
      <c r="T19" s="267"/>
      <c r="U19" s="272">
        <f>(IF(U32="VAT Inclusive",U15*0.12,0))+U15</f>
        <v>0</v>
      </c>
      <c r="V19" s="273"/>
      <c r="W19" s="266">
        <f>(IF(U32="VAT Inclusive",W15*0.12,0))+W15</f>
        <v>0</v>
      </c>
      <c r="X19" s="267"/>
      <c r="Y19" s="272">
        <f>(IF(Y32="VAT Inclusive",Y15*0.12,0))+Y15</f>
        <v>0</v>
      </c>
      <c r="Z19" s="273"/>
      <c r="AA19" s="266">
        <f>(IF(Y32="VAT Inclusive",AA15*0.12,0))+AA15</f>
        <v>0</v>
      </c>
      <c r="AB19" s="267"/>
      <c r="AC19" s="272">
        <f>(IF(AC32="VAT Inclusive",AC15*0.12,0))+AC15</f>
        <v>0</v>
      </c>
      <c r="AD19" s="273"/>
      <c r="AE19" s="266">
        <f>(IF(AC32="VAT Inclusive",AE15*0.12,0))+AE15</f>
        <v>0</v>
      </c>
      <c r="AF19" s="267"/>
      <c r="AG19" s="272">
        <f>(IF(AG32="VAT Inclusive",AG15*0.12,0))+AG15</f>
        <v>0</v>
      </c>
      <c r="AH19" s="273"/>
      <c r="AI19" s="266">
        <f>(IF(AG32="VAT Inclusive",AI15*0.12,0))+AI15</f>
        <v>0</v>
      </c>
      <c r="AJ19" s="267"/>
      <c r="AK19" s="272">
        <f>(IF(AK32="VAT Inclusive",AK15*0.12,0))+AK15</f>
        <v>0</v>
      </c>
      <c r="AL19" s="273"/>
      <c r="AM19" s="266">
        <f>(IF(AK32="VAT Inclusive",AM15*0.12,0))+AM15</f>
        <v>0</v>
      </c>
      <c r="AN19" s="267"/>
      <c r="AP19" s="126"/>
      <c r="AQ19" s="126"/>
      <c r="AR19" s="126"/>
      <c r="AS19" s="126"/>
      <c r="AT19" s="126"/>
      <c r="AU19" s="127"/>
      <c r="AV19" s="127"/>
      <c r="AW19" s="127"/>
    </row>
    <row r="20" spans="1:49" s="88" customFormat="1" ht="29.25" customHeight="1">
      <c r="A20" s="85"/>
      <c r="B20" s="85"/>
      <c r="C20" s="86"/>
      <c r="D20" s="86"/>
      <c r="E20" s="86"/>
      <c r="F20" s="86"/>
      <c r="G20" s="87"/>
      <c r="H20" s="87"/>
      <c r="I20" s="87"/>
      <c r="J20" s="87"/>
      <c r="K20" s="87"/>
      <c r="L20" s="186" t="s">
        <v>46</v>
      </c>
      <c r="M20" s="268">
        <f>M19+M16</f>
        <v>0</v>
      </c>
      <c r="N20" s="269"/>
      <c r="O20" s="172"/>
      <c r="P20" s="171"/>
      <c r="Q20" s="281">
        <f>Q19+Q16</f>
        <v>0</v>
      </c>
      <c r="R20" s="282"/>
      <c r="S20" s="268">
        <f>+S19+S16</f>
        <v>0</v>
      </c>
      <c r="T20" s="269"/>
      <c r="U20" s="281">
        <f>U19+U16</f>
        <v>0</v>
      </c>
      <c r="V20" s="282"/>
      <c r="W20" s="268">
        <f>+W19+W16</f>
        <v>0</v>
      </c>
      <c r="X20" s="269"/>
      <c r="Y20" s="281">
        <f>Y19+Y16</f>
        <v>0</v>
      </c>
      <c r="Z20" s="282"/>
      <c r="AA20" s="268">
        <f>+AA19+AA16</f>
        <v>0</v>
      </c>
      <c r="AB20" s="269"/>
      <c r="AC20" s="281">
        <f>AC19+AC16</f>
        <v>0</v>
      </c>
      <c r="AD20" s="282"/>
      <c r="AE20" s="268">
        <f>+AE19+AE16</f>
        <v>0</v>
      </c>
      <c r="AF20" s="269"/>
      <c r="AG20" s="281">
        <f>AG19+AG16</f>
        <v>0</v>
      </c>
      <c r="AH20" s="282"/>
      <c r="AI20" s="268">
        <f>+AI19+AI16</f>
        <v>0</v>
      </c>
      <c r="AJ20" s="269"/>
      <c r="AK20" s="281">
        <f>AK19+AK16</f>
        <v>0</v>
      </c>
      <c r="AL20" s="282"/>
      <c r="AM20" s="268">
        <f>+AM19+AM16</f>
        <v>0</v>
      </c>
      <c r="AN20" s="269"/>
      <c r="AP20" s="128"/>
      <c r="AQ20" s="128"/>
      <c r="AR20" s="128"/>
      <c r="AS20" s="128"/>
      <c r="AT20" s="128"/>
      <c r="AU20" s="129"/>
      <c r="AV20" s="126"/>
      <c r="AW20" s="127"/>
    </row>
    <row r="21" spans="1:49" s="21" customFormat="1" ht="9" customHeight="1">
      <c r="A21" s="11"/>
      <c r="B21" s="11"/>
      <c r="C21" s="34"/>
      <c r="D21" s="34"/>
      <c r="E21" s="34"/>
      <c r="F21" s="34"/>
      <c r="G21" s="13"/>
      <c r="H21" s="13"/>
      <c r="I21" s="13"/>
      <c r="J21" s="13"/>
      <c r="K21" s="13"/>
      <c r="L21" s="37"/>
      <c r="M21" s="76"/>
      <c r="N21" s="76"/>
      <c r="O21" s="80"/>
      <c r="P21" s="76"/>
      <c r="Q21" s="112"/>
      <c r="R21" s="174"/>
      <c r="S21" s="174"/>
      <c r="T21" s="175"/>
      <c r="U21" s="62"/>
      <c r="V21" s="57"/>
      <c r="W21" s="57"/>
      <c r="X21" s="80"/>
      <c r="Y21" s="62"/>
      <c r="Z21" s="57"/>
      <c r="AA21" s="57"/>
      <c r="AB21" s="80"/>
      <c r="AC21" s="62"/>
      <c r="AD21" s="57"/>
      <c r="AE21" s="57"/>
      <c r="AF21" s="80"/>
      <c r="AG21" s="62"/>
      <c r="AH21" s="57"/>
      <c r="AI21" s="57"/>
      <c r="AJ21" s="80"/>
      <c r="AK21" s="62"/>
      <c r="AL21" s="57"/>
      <c r="AM21" s="57"/>
      <c r="AN21" s="80"/>
      <c r="AP21" s="126"/>
      <c r="AQ21" s="126"/>
      <c r="AR21" s="126"/>
      <c r="AS21" s="126"/>
      <c r="AT21" s="126"/>
      <c r="AU21" s="127"/>
      <c r="AV21" s="127"/>
      <c r="AW21" s="127"/>
    </row>
    <row r="22" spans="1:49" s="21" customFormat="1" ht="20.25" customHeight="1">
      <c r="A22" s="11"/>
      <c r="B22" s="11"/>
      <c r="C22" s="34"/>
      <c r="D22" s="34"/>
      <c r="E22" s="34"/>
      <c r="F22" s="34"/>
      <c r="G22" s="46"/>
      <c r="H22" s="46"/>
      <c r="I22" s="46"/>
      <c r="J22" s="46"/>
      <c r="K22" s="46"/>
      <c r="L22" s="74" t="s">
        <v>47</v>
      </c>
      <c r="M22" s="263"/>
      <c r="N22" s="264"/>
      <c r="O22" s="264"/>
      <c r="P22" s="166"/>
      <c r="Q22" s="263"/>
      <c r="R22" s="264"/>
      <c r="S22" s="264"/>
      <c r="T22" s="265"/>
      <c r="U22" s="286"/>
      <c r="V22" s="286"/>
      <c r="W22" s="286"/>
      <c r="X22" s="287"/>
      <c r="Y22" s="233"/>
      <c r="Z22" s="234"/>
      <c r="AA22" s="234"/>
      <c r="AB22" s="235"/>
      <c r="AC22" s="233"/>
      <c r="AD22" s="234"/>
      <c r="AE22" s="234"/>
      <c r="AF22" s="235"/>
      <c r="AG22" s="233"/>
      <c r="AH22" s="234"/>
      <c r="AI22" s="234"/>
      <c r="AJ22" s="235"/>
      <c r="AK22" s="233"/>
      <c r="AL22" s="234"/>
      <c r="AM22" s="234"/>
      <c r="AN22" s="235"/>
      <c r="AP22" s="126"/>
      <c r="AQ22" s="126"/>
      <c r="AR22" s="126"/>
      <c r="AS22" s="126"/>
      <c r="AT22" s="126"/>
      <c r="AU22" s="127"/>
      <c r="AV22" s="127"/>
      <c r="AW22" s="127"/>
    </row>
    <row r="23" spans="1:49" s="21" customFormat="1" ht="19.5" customHeight="1">
      <c r="A23" s="11"/>
      <c r="B23" s="11"/>
      <c r="C23" s="34"/>
      <c r="D23" s="34"/>
      <c r="E23" s="34"/>
      <c r="F23" s="34"/>
      <c r="G23" s="47"/>
      <c r="H23" s="47"/>
      <c r="I23" s="48"/>
      <c r="J23" s="48"/>
      <c r="K23" s="48"/>
      <c r="L23" s="75" t="s">
        <v>48</v>
      </c>
      <c r="M23" s="239"/>
      <c r="N23" s="240"/>
      <c r="O23" s="240"/>
      <c r="P23" s="43"/>
      <c r="Q23" s="236" t="s">
        <v>49</v>
      </c>
      <c r="R23" s="237"/>
      <c r="S23" s="237"/>
      <c r="T23" s="238"/>
      <c r="U23" s="237" t="s">
        <v>49</v>
      </c>
      <c r="V23" s="237"/>
      <c r="W23" s="237"/>
      <c r="X23" s="238"/>
      <c r="Y23" s="236" t="s">
        <v>49</v>
      </c>
      <c r="Z23" s="237"/>
      <c r="AA23" s="237"/>
      <c r="AB23" s="238"/>
      <c r="AC23" s="236" t="s">
        <v>49</v>
      </c>
      <c r="AD23" s="237"/>
      <c r="AE23" s="237"/>
      <c r="AF23" s="238"/>
      <c r="AG23" s="236" t="s">
        <v>49</v>
      </c>
      <c r="AH23" s="237"/>
      <c r="AI23" s="237"/>
      <c r="AJ23" s="238"/>
      <c r="AK23" s="236" t="s">
        <v>49</v>
      </c>
      <c r="AL23" s="237"/>
      <c r="AM23" s="237"/>
      <c r="AN23" s="238"/>
      <c r="AP23" s="126"/>
      <c r="AQ23" s="126"/>
      <c r="AR23" s="126"/>
      <c r="AS23" s="126"/>
      <c r="AT23" s="126"/>
      <c r="AU23" s="127"/>
      <c r="AV23" s="127"/>
      <c r="AW23" s="127"/>
    </row>
    <row r="24" spans="1:49" ht="9" customHeight="1">
      <c r="C24" s="15"/>
      <c r="D24" s="15"/>
      <c r="E24" s="15"/>
      <c r="F24" s="51"/>
      <c r="G24" s="51"/>
      <c r="H24" s="51"/>
      <c r="I24" s="51"/>
      <c r="J24" s="51"/>
      <c r="K24" s="51"/>
      <c r="M24" s="118"/>
      <c r="N24" s="118"/>
      <c r="O24" s="118"/>
      <c r="P24" s="118"/>
      <c r="Q24" s="176"/>
      <c r="R24" s="113"/>
      <c r="S24" s="113"/>
      <c r="T24" s="177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5"/>
      <c r="AS24" s="123"/>
      <c r="AT24" s="123"/>
      <c r="AV24" s="116"/>
      <c r="AW24" s="116"/>
    </row>
    <row r="25" spans="1:49" s="1" customFormat="1" ht="15">
      <c r="A25" s="6"/>
      <c r="B25" s="6"/>
      <c r="C25" s="6"/>
      <c r="D25" s="6"/>
      <c r="E25" s="6"/>
      <c r="I25" s="55"/>
      <c r="J25" s="55"/>
      <c r="K25" s="55"/>
      <c r="L25" s="55" t="s">
        <v>50</v>
      </c>
      <c r="M25" s="18"/>
      <c r="N25" s="18"/>
      <c r="Q25" s="178"/>
      <c r="R25" s="18"/>
      <c r="S25" s="18"/>
      <c r="T25" s="179"/>
      <c r="U25" s="119"/>
      <c r="V25" s="18"/>
      <c r="W25" s="18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9"/>
      <c r="AP25" s="130"/>
      <c r="AQ25" s="130"/>
      <c r="AR25" s="130"/>
      <c r="AS25" s="130"/>
      <c r="AT25" s="130"/>
      <c r="AU25" s="131"/>
      <c r="AV25" s="131"/>
      <c r="AW25" s="131"/>
    </row>
    <row r="26" spans="1:49" s="2" customFormat="1">
      <c r="A26" s="7"/>
      <c r="B26" s="7"/>
      <c r="F26" s="41"/>
      <c r="G26" s="41"/>
      <c r="H26" s="41"/>
      <c r="I26" s="49"/>
      <c r="J26" s="49"/>
      <c r="K26" s="49"/>
      <c r="L26" s="38" t="s">
        <v>51</v>
      </c>
      <c r="M26" s="226"/>
      <c r="N26" s="227"/>
      <c r="O26" s="227"/>
      <c r="P26" s="167"/>
      <c r="Q26" s="230"/>
      <c r="R26" s="231"/>
      <c r="S26" s="231"/>
      <c r="T26" s="232"/>
      <c r="U26" s="221"/>
      <c r="V26" s="221"/>
      <c r="W26" s="221"/>
      <c r="X26" s="222"/>
      <c r="Y26" s="220"/>
      <c r="Z26" s="221"/>
      <c r="AA26" s="221"/>
      <c r="AB26" s="222"/>
      <c r="AC26" s="220"/>
      <c r="AD26" s="221"/>
      <c r="AE26" s="221"/>
      <c r="AF26" s="222"/>
      <c r="AG26" s="220"/>
      <c r="AH26" s="221"/>
      <c r="AI26" s="221"/>
      <c r="AJ26" s="222"/>
      <c r="AK26" s="220"/>
      <c r="AL26" s="221"/>
      <c r="AM26" s="221"/>
      <c r="AN26" s="222"/>
      <c r="AP26" s="132"/>
      <c r="AQ26" s="132"/>
      <c r="AR26" s="132"/>
      <c r="AS26" s="132"/>
      <c r="AT26" s="132"/>
      <c r="AU26" s="133"/>
      <c r="AV26" s="133"/>
      <c r="AW26" s="133"/>
    </row>
    <row r="27" spans="1:49" s="2" customFormat="1">
      <c r="A27" s="7"/>
      <c r="B27" s="7"/>
      <c r="F27" s="41"/>
      <c r="G27" s="41"/>
      <c r="H27" s="41"/>
      <c r="I27" s="49"/>
      <c r="J27" s="49"/>
      <c r="K27" s="49"/>
      <c r="L27" s="38" t="s">
        <v>52</v>
      </c>
      <c r="M27" s="226"/>
      <c r="N27" s="227"/>
      <c r="O27" s="227"/>
      <c r="P27" s="167"/>
      <c r="Q27" s="230"/>
      <c r="R27" s="231"/>
      <c r="S27" s="231"/>
      <c r="T27" s="232"/>
      <c r="U27" s="221"/>
      <c r="V27" s="221"/>
      <c r="W27" s="221"/>
      <c r="X27" s="222"/>
      <c r="Y27" s="220"/>
      <c r="Z27" s="221"/>
      <c r="AA27" s="221"/>
      <c r="AB27" s="222"/>
      <c r="AC27" s="220"/>
      <c r="AD27" s="221"/>
      <c r="AE27" s="221"/>
      <c r="AF27" s="222"/>
      <c r="AG27" s="220"/>
      <c r="AH27" s="221"/>
      <c r="AI27" s="221"/>
      <c r="AJ27" s="222"/>
      <c r="AK27" s="220"/>
      <c r="AL27" s="221"/>
      <c r="AM27" s="221"/>
      <c r="AN27" s="222"/>
      <c r="AP27" s="132"/>
      <c r="AQ27" s="132"/>
      <c r="AR27" s="132"/>
      <c r="AS27" s="132"/>
      <c r="AT27" s="132"/>
      <c r="AU27" s="133"/>
      <c r="AV27" s="133"/>
      <c r="AW27" s="133"/>
    </row>
    <row r="28" spans="1:49" s="19" customFormat="1">
      <c r="A28" s="20"/>
      <c r="B28" s="20"/>
      <c r="F28" s="41"/>
      <c r="G28" s="41"/>
      <c r="H28" s="41"/>
      <c r="I28" s="49"/>
      <c r="J28" s="49"/>
      <c r="K28" s="49"/>
      <c r="L28" s="38" t="s">
        <v>53</v>
      </c>
      <c r="M28" s="226"/>
      <c r="N28" s="227"/>
      <c r="O28" s="227"/>
      <c r="P28" s="167"/>
      <c r="Q28" s="230"/>
      <c r="R28" s="231"/>
      <c r="S28" s="231"/>
      <c r="T28" s="232"/>
      <c r="U28" s="221"/>
      <c r="V28" s="221"/>
      <c r="W28" s="221"/>
      <c r="X28" s="222"/>
      <c r="Y28" s="220"/>
      <c r="Z28" s="221"/>
      <c r="AA28" s="221"/>
      <c r="AB28" s="222"/>
      <c r="AC28" s="220"/>
      <c r="AD28" s="221"/>
      <c r="AE28" s="221"/>
      <c r="AF28" s="222"/>
      <c r="AG28" s="220"/>
      <c r="AH28" s="221"/>
      <c r="AI28" s="221"/>
      <c r="AJ28" s="222"/>
      <c r="AK28" s="220"/>
      <c r="AL28" s="221"/>
      <c r="AM28" s="221"/>
      <c r="AN28" s="222"/>
      <c r="AP28" s="134"/>
      <c r="AQ28" s="134"/>
      <c r="AR28" s="134"/>
      <c r="AS28" s="134"/>
      <c r="AT28" s="134"/>
      <c r="AU28" s="135"/>
      <c r="AV28" s="135"/>
      <c r="AW28" s="135"/>
    </row>
    <row r="29" spans="1:49" s="19" customFormat="1">
      <c r="A29" s="20"/>
      <c r="B29" s="20"/>
      <c r="F29" s="41"/>
      <c r="G29" s="41"/>
      <c r="H29" s="41"/>
      <c r="I29" s="49"/>
      <c r="J29" s="49"/>
      <c r="K29" s="49"/>
      <c r="L29" s="38" t="s">
        <v>54</v>
      </c>
      <c r="M29" s="226"/>
      <c r="N29" s="227"/>
      <c r="O29" s="227"/>
      <c r="P29" s="167"/>
      <c r="Q29" s="230"/>
      <c r="R29" s="231"/>
      <c r="S29" s="231"/>
      <c r="T29" s="232"/>
      <c r="U29" s="221"/>
      <c r="V29" s="221"/>
      <c r="W29" s="221"/>
      <c r="X29" s="222"/>
      <c r="Y29" s="220"/>
      <c r="Z29" s="221"/>
      <c r="AA29" s="221"/>
      <c r="AB29" s="222"/>
      <c r="AC29" s="220"/>
      <c r="AD29" s="221"/>
      <c r="AE29" s="221"/>
      <c r="AF29" s="222"/>
      <c r="AG29" s="220"/>
      <c r="AH29" s="221"/>
      <c r="AI29" s="221"/>
      <c r="AJ29" s="222"/>
      <c r="AK29" s="220"/>
      <c r="AL29" s="221"/>
      <c r="AM29" s="221"/>
      <c r="AN29" s="222"/>
      <c r="AP29" s="134"/>
      <c r="AQ29" s="134"/>
      <c r="AR29" s="134"/>
      <c r="AS29" s="134"/>
      <c r="AT29" s="134"/>
      <c r="AU29" s="135"/>
      <c r="AV29" s="135"/>
      <c r="AW29" s="135"/>
    </row>
    <row r="30" spans="1:49" s="19" customFormat="1">
      <c r="A30" s="20"/>
      <c r="B30" s="20"/>
      <c r="F30" s="41"/>
      <c r="G30" s="41"/>
      <c r="H30" s="41"/>
      <c r="I30" s="49"/>
      <c r="J30" s="49"/>
      <c r="K30" s="49"/>
      <c r="L30" s="38" t="s">
        <v>55</v>
      </c>
      <c r="M30" s="226"/>
      <c r="N30" s="227"/>
      <c r="O30" s="227"/>
      <c r="P30" s="167"/>
      <c r="Q30" s="230"/>
      <c r="R30" s="231"/>
      <c r="S30" s="231"/>
      <c r="T30" s="232"/>
      <c r="U30" s="221"/>
      <c r="V30" s="221"/>
      <c r="W30" s="221"/>
      <c r="X30" s="222"/>
      <c r="Y30" s="220"/>
      <c r="Z30" s="221"/>
      <c r="AA30" s="221"/>
      <c r="AB30" s="222"/>
      <c r="AC30" s="220"/>
      <c r="AD30" s="221"/>
      <c r="AE30" s="221"/>
      <c r="AF30" s="222"/>
      <c r="AG30" s="220"/>
      <c r="AH30" s="221"/>
      <c r="AI30" s="221"/>
      <c r="AJ30" s="222"/>
      <c r="AK30" s="220"/>
      <c r="AL30" s="221"/>
      <c r="AM30" s="221"/>
      <c r="AN30" s="222"/>
      <c r="AP30" s="134"/>
      <c r="AQ30" s="134"/>
      <c r="AR30" s="134"/>
      <c r="AS30" s="134"/>
      <c r="AT30" s="134"/>
      <c r="AU30" s="135"/>
      <c r="AV30" s="135"/>
      <c r="AW30" s="135"/>
    </row>
    <row r="31" spans="1:49" s="19" customFormat="1">
      <c r="A31" s="20"/>
      <c r="B31" s="20"/>
      <c r="F31" s="41"/>
      <c r="G31" s="41"/>
      <c r="H31" s="41"/>
      <c r="I31" s="49"/>
      <c r="J31" s="49"/>
      <c r="K31" s="49"/>
      <c r="L31" s="38" t="s">
        <v>56</v>
      </c>
      <c r="M31" s="226"/>
      <c r="N31" s="227"/>
      <c r="O31" s="227"/>
      <c r="P31" s="167"/>
      <c r="Q31" s="230"/>
      <c r="R31" s="231"/>
      <c r="S31" s="231"/>
      <c r="T31" s="232"/>
      <c r="U31" s="221"/>
      <c r="V31" s="221"/>
      <c r="W31" s="221"/>
      <c r="X31" s="222"/>
      <c r="Y31" s="220"/>
      <c r="Z31" s="221"/>
      <c r="AA31" s="221"/>
      <c r="AB31" s="222"/>
      <c r="AC31" s="220"/>
      <c r="AD31" s="221"/>
      <c r="AE31" s="221"/>
      <c r="AF31" s="222"/>
      <c r="AG31" s="220"/>
      <c r="AH31" s="221"/>
      <c r="AI31" s="221"/>
      <c r="AJ31" s="222"/>
      <c r="AK31" s="220"/>
      <c r="AL31" s="221"/>
      <c r="AM31" s="221"/>
      <c r="AN31" s="222"/>
      <c r="AP31" s="134"/>
      <c r="AQ31" s="134"/>
      <c r="AR31" s="134"/>
      <c r="AS31" s="134"/>
      <c r="AT31" s="134"/>
      <c r="AU31" s="135"/>
      <c r="AV31" s="135"/>
      <c r="AW31" s="135"/>
    </row>
    <row r="32" spans="1:49" s="117" customFormat="1">
      <c r="A32" s="20"/>
      <c r="B32" s="20"/>
      <c r="C32" s="19"/>
      <c r="D32" s="19"/>
      <c r="E32" s="19"/>
      <c r="F32" s="41"/>
      <c r="G32" s="41"/>
      <c r="H32" s="41"/>
      <c r="I32" s="49"/>
      <c r="J32" s="49"/>
      <c r="K32" s="49"/>
      <c r="L32" s="49" t="s">
        <v>57</v>
      </c>
      <c r="M32" s="223" t="s">
        <v>58</v>
      </c>
      <c r="N32" s="223"/>
      <c r="O32" s="224"/>
      <c r="P32" s="173"/>
      <c r="Q32" s="283" t="s">
        <v>58</v>
      </c>
      <c r="R32" s="284"/>
      <c r="S32" s="284"/>
      <c r="T32" s="285"/>
      <c r="U32" s="225" t="s">
        <v>58</v>
      </c>
      <c r="V32" s="225"/>
      <c r="W32" s="225"/>
      <c r="X32" s="225"/>
      <c r="Y32" s="225" t="s">
        <v>58</v>
      </c>
      <c r="Z32" s="225"/>
      <c r="AA32" s="225"/>
      <c r="AB32" s="225"/>
      <c r="AC32" s="225" t="s">
        <v>58</v>
      </c>
      <c r="AD32" s="225"/>
      <c r="AE32" s="225"/>
      <c r="AF32" s="225"/>
      <c r="AG32" s="225" t="s">
        <v>58</v>
      </c>
      <c r="AH32" s="225"/>
      <c r="AI32" s="225"/>
      <c r="AJ32" s="225"/>
      <c r="AK32" s="225" t="s">
        <v>59</v>
      </c>
      <c r="AL32" s="225"/>
      <c r="AM32" s="225"/>
      <c r="AN32" s="225"/>
      <c r="AP32" s="136"/>
      <c r="AQ32" s="136"/>
      <c r="AR32" s="136"/>
      <c r="AS32" s="136"/>
      <c r="AT32" s="136"/>
      <c r="AU32" s="137"/>
      <c r="AV32" s="137"/>
      <c r="AW32" s="137"/>
    </row>
    <row r="33" spans="1:47" ht="15">
      <c r="A33" s="16" t="s">
        <v>60</v>
      </c>
      <c r="B33" s="16"/>
      <c r="K33" s="12"/>
      <c r="L33" s="12"/>
      <c r="M33" s="12"/>
      <c r="N33" s="12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47" s="21" customFormat="1" ht="33" customHeight="1">
      <c r="A34" s="141"/>
      <c r="B34" s="206" t="str">
        <f>CONCATENATE("We recommend to award this requirement to ",AW17,".")</f>
        <v>We recommend to award this requirement to .</v>
      </c>
      <c r="C34" s="207"/>
      <c r="D34" s="207"/>
      <c r="E34" s="207"/>
      <c r="F34" s="207"/>
      <c r="G34" s="207"/>
      <c r="H34" s="207"/>
      <c r="I34" s="208"/>
      <c r="M34" s="52" t="s">
        <v>61</v>
      </c>
      <c r="N34" s="157" t="s">
        <v>62</v>
      </c>
      <c r="O34" s="189" t="s">
        <v>63</v>
      </c>
      <c r="P34" s="189" t="s">
        <v>64</v>
      </c>
      <c r="R34" s="53"/>
      <c r="S34" s="158" t="s">
        <v>65</v>
      </c>
      <c r="T34" s="229" t="s">
        <v>66</v>
      </c>
      <c r="U34" s="229"/>
      <c r="V34" s="229"/>
      <c r="W34" s="200" t="s">
        <v>67</v>
      </c>
      <c r="X34" s="60" t="s">
        <v>68</v>
      </c>
      <c r="Y34" s="69"/>
      <c r="AB34" s="54"/>
      <c r="AC34" s="69"/>
      <c r="AF34" s="54"/>
      <c r="AG34" s="69"/>
      <c r="AJ34" s="54"/>
      <c r="AK34" s="69"/>
      <c r="AN34" s="126"/>
      <c r="AO34" s="202"/>
      <c r="AP34" s="126"/>
      <c r="AQ34" s="126"/>
      <c r="AR34" s="126"/>
      <c r="AS34" s="127"/>
      <c r="AT34" s="127"/>
      <c r="AU34" s="127"/>
    </row>
    <row r="35" spans="1:47" ht="15" outlineLevel="1">
      <c r="A35" s="16"/>
      <c r="B35" s="209"/>
      <c r="C35" s="210"/>
      <c r="D35" s="210"/>
      <c r="E35" s="210"/>
      <c r="F35" s="210"/>
      <c r="G35" s="210"/>
      <c r="H35" s="210"/>
      <c r="I35" s="211"/>
      <c r="M35" s="145" t="str">
        <f>Q8</f>
        <v>Supplier 1</v>
      </c>
      <c r="N35" s="93">
        <f>COUNTIF($O$10:$O$13,M35)</f>
        <v>4</v>
      </c>
      <c r="O35" s="92">
        <f>SUMIF($O$10:$O$13,M35,$N$10:$N$13)</f>
        <v>0</v>
      </c>
      <c r="P35" s="92">
        <f t="shared" ref="P35:P40" si="26">IF(HLOOKUP($M35,$Q$8:$AN$32,25,0)="VAT Inclusive",($O35*1.12),$O35)</f>
        <v>0</v>
      </c>
      <c r="S35" s="159" t="s">
        <v>69</v>
      </c>
      <c r="T35" s="228">
        <f>IF(M15=0,0,$K$15-M$15)</f>
        <v>0</v>
      </c>
      <c r="U35" s="228"/>
      <c r="V35" s="228"/>
      <c r="W35" s="201" t="str">
        <f t="shared" ref="W35:W41" si="27">IFERROR((T35/$K$15),"")</f>
        <v/>
      </c>
      <c r="X35" s="212">
        <f>LARGE(T35:T41,1)</f>
        <v>0</v>
      </c>
    </row>
    <row r="36" spans="1:47" ht="15">
      <c r="A36" s="16" t="s">
        <v>70</v>
      </c>
      <c r="B36" s="155"/>
      <c r="C36" s="156"/>
      <c r="D36" s="156"/>
      <c r="E36" s="156"/>
      <c r="F36" s="156"/>
      <c r="G36" s="156"/>
      <c r="H36" s="156"/>
      <c r="I36" s="156"/>
      <c r="J36" s="21"/>
      <c r="K36" s="21"/>
      <c r="L36" s="21"/>
      <c r="M36" s="145" t="str">
        <f>U8</f>
        <v>Supplier 2</v>
      </c>
      <c r="N36" s="93">
        <f t="shared" ref="N36:N40" si="28">COUNTIF($O$10:$O$13,M36)</f>
        <v>0</v>
      </c>
      <c r="O36" s="92">
        <f t="shared" ref="O36:O40" si="29">SUMIF($O$10:$O$13,M36,$N$10:$N$13)</f>
        <v>0</v>
      </c>
      <c r="P36" s="92">
        <f t="shared" si="26"/>
        <v>0</v>
      </c>
      <c r="Q36" s="21"/>
      <c r="R36" s="21"/>
      <c r="S36" s="159" t="str">
        <f>Q8</f>
        <v>Supplier 1</v>
      </c>
      <c r="T36" s="228">
        <f>IF(S15=0,0,$K$15-S$15)</f>
        <v>0</v>
      </c>
      <c r="U36" s="228"/>
      <c r="V36" s="228"/>
      <c r="W36" s="201" t="str">
        <f t="shared" si="27"/>
        <v/>
      </c>
      <c r="X36" s="212"/>
      <c r="AA36" s="23"/>
      <c r="AB36" s="23"/>
      <c r="AE36" s="23"/>
      <c r="AF36" s="23"/>
      <c r="AI36" s="23"/>
      <c r="AJ36" s="23"/>
    </row>
    <row r="37" spans="1:47" ht="15">
      <c r="A37" s="16"/>
      <c r="B37" s="213"/>
      <c r="C37" s="214"/>
      <c r="D37" s="214"/>
      <c r="E37" s="214"/>
      <c r="F37" s="214"/>
      <c r="G37" s="214"/>
      <c r="H37" s="214"/>
      <c r="I37" s="215"/>
      <c r="M37" s="145" t="str">
        <f>Y8</f>
        <v>Supplier 3</v>
      </c>
      <c r="N37" s="93">
        <f t="shared" si="28"/>
        <v>0</v>
      </c>
      <c r="O37" s="92">
        <f t="shared" si="29"/>
        <v>0</v>
      </c>
      <c r="P37" s="92">
        <f t="shared" si="26"/>
        <v>0</v>
      </c>
      <c r="S37" s="159" t="str">
        <f>U8</f>
        <v>Supplier 2</v>
      </c>
      <c r="T37" s="228">
        <f>IF(W15=0,0,$K$15-W$15)</f>
        <v>0</v>
      </c>
      <c r="U37" s="228"/>
      <c r="V37" s="228"/>
      <c r="W37" s="201" t="str">
        <f t="shared" si="27"/>
        <v/>
      </c>
      <c r="X37" s="212"/>
    </row>
    <row r="38" spans="1:47" ht="15">
      <c r="A38" s="16"/>
      <c r="B38" s="216"/>
      <c r="C38" s="217"/>
      <c r="D38" s="217"/>
      <c r="E38" s="217"/>
      <c r="F38" s="217"/>
      <c r="G38" s="217"/>
      <c r="H38" s="217"/>
      <c r="I38" s="218"/>
      <c r="M38" s="145" t="str">
        <f>AC8</f>
        <v>Supplier 4</v>
      </c>
      <c r="N38" s="93">
        <f t="shared" si="28"/>
        <v>0</v>
      </c>
      <c r="O38" s="92">
        <f t="shared" si="29"/>
        <v>0</v>
      </c>
      <c r="P38" s="92">
        <f t="shared" si="26"/>
        <v>0</v>
      </c>
      <c r="S38" s="159" t="str">
        <f>Y8</f>
        <v>Supplier 3</v>
      </c>
      <c r="T38" s="228">
        <f>IF(AA15=0,0,$K$15-AA$15)</f>
        <v>0</v>
      </c>
      <c r="U38" s="228"/>
      <c r="V38" s="228"/>
      <c r="W38" s="201" t="str">
        <f t="shared" si="27"/>
        <v/>
      </c>
      <c r="X38" s="212"/>
    </row>
    <row r="39" spans="1:47" ht="15" hidden="1" outlineLevel="1">
      <c r="A39" s="16"/>
      <c r="B39" s="141"/>
      <c r="C39" s="141"/>
      <c r="D39" s="141"/>
      <c r="E39" s="141"/>
      <c r="F39" s="141"/>
      <c r="G39" s="141"/>
      <c r="H39" s="141"/>
      <c r="I39" s="141"/>
      <c r="M39" s="146" t="str">
        <f>AG8</f>
        <v>Supplier 5</v>
      </c>
      <c r="N39" s="93">
        <f t="shared" si="28"/>
        <v>0</v>
      </c>
      <c r="O39" s="92">
        <f t="shared" si="29"/>
        <v>0</v>
      </c>
      <c r="P39" s="92">
        <f t="shared" si="26"/>
        <v>0</v>
      </c>
      <c r="S39" s="144" t="str">
        <f>AC8</f>
        <v>Supplier 4</v>
      </c>
      <c r="T39" s="228">
        <f>IF(AE15=0,0,$K$15-AE$15)</f>
        <v>0</v>
      </c>
      <c r="U39" s="228"/>
      <c r="V39" s="228"/>
      <c r="W39" s="201" t="str">
        <f t="shared" si="27"/>
        <v/>
      </c>
      <c r="X39" s="212"/>
    </row>
    <row r="40" spans="1:47" ht="15" hidden="1" outlineLevel="1">
      <c r="A40" s="16"/>
      <c r="B40" s="141"/>
      <c r="C40" s="141"/>
      <c r="D40" s="141"/>
      <c r="E40" s="141"/>
      <c r="F40" s="141"/>
      <c r="G40" s="141"/>
      <c r="H40" s="141"/>
      <c r="I40" s="141"/>
      <c r="M40" s="146" t="str">
        <f>AK8</f>
        <v>Supplier 6</v>
      </c>
      <c r="N40" s="93">
        <f t="shared" si="28"/>
        <v>0</v>
      </c>
      <c r="O40" s="92">
        <f t="shared" si="29"/>
        <v>0</v>
      </c>
      <c r="P40" s="92">
        <f t="shared" si="26"/>
        <v>0</v>
      </c>
      <c r="S40" s="144" t="str">
        <f>AG8</f>
        <v>Supplier 5</v>
      </c>
      <c r="T40" s="228">
        <f>IF(AI15=0,0,$K$15-AI$15)</f>
        <v>0</v>
      </c>
      <c r="U40" s="228"/>
      <c r="V40" s="228"/>
      <c r="W40" s="201" t="str">
        <f t="shared" si="27"/>
        <v/>
      </c>
      <c r="X40" s="212"/>
    </row>
    <row r="41" spans="1:47" ht="15" hidden="1" outlineLevel="1">
      <c r="A41" s="16"/>
      <c r="B41" s="141"/>
      <c r="C41" s="141"/>
      <c r="D41" s="141"/>
      <c r="E41" s="141"/>
      <c r="F41" s="141"/>
      <c r="G41" s="141"/>
      <c r="H41" s="141"/>
      <c r="I41" s="141"/>
      <c r="M41" s="12" t="s">
        <v>71</v>
      </c>
      <c r="N41" s="94">
        <f>SUM(N35:N40)</f>
        <v>4</v>
      </c>
      <c r="O41" s="95">
        <f>SUM(O35:O40)</f>
        <v>0</v>
      </c>
      <c r="P41" s="95">
        <f>SUM(P35:P40)</f>
        <v>0</v>
      </c>
      <c r="S41" s="144" t="str">
        <f>AK8</f>
        <v>Supplier 6</v>
      </c>
      <c r="T41" s="228">
        <f>IF(AM15=0,0,$K$15-AM$15)</f>
        <v>0</v>
      </c>
      <c r="U41" s="228"/>
      <c r="V41" s="228"/>
      <c r="W41" s="201" t="str">
        <f t="shared" si="27"/>
        <v/>
      </c>
      <c r="X41" s="212"/>
    </row>
    <row r="42" spans="1:47" ht="15" collapsed="1">
      <c r="A42" s="16" t="s">
        <v>72</v>
      </c>
      <c r="B42" s="16"/>
      <c r="C42" s="17"/>
      <c r="D42" s="17"/>
      <c r="E42" s="17"/>
      <c r="F42" s="17"/>
    </row>
    <row r="43" spans="1:47" ht="88.5" customHeight="1">
      <c r="A43" s="22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3"/>
      <c r="T43" s="23"/>
      <c r="U43" s="23"/>
      <c r="W43" s="23"/>
      <c r="X43" s="23"/>
      <c r="AA43" s="23"/>
      <c r="AB43" s="23"/>
      <c r="AE43" s="23"/>
      <c r="AF43" s="23"/>
      <c r="AI43" s="23"/>
      <c r="AJ43" s="23"/>
    </row>
    <row r="44" spans="1:47">
      <c r="A44" s="22"/>
      <c r="B44" s="22"/>
    </row>
    <row r="45" spans="1:47" s="2" customFormat="1" ht="15">
      <c r="A45" s="18" t="s">
        <v>73</v>
      </c>
      <c r="B45" s="18"/>
      <c r="C45" s="24"/>
      <c r="D45" s="24" t="s">
        <v>74</v>
      </c>
      <c r="G45" s="25"/>
      <c r="H45" s="25"/>
      <c r="I45" s="25"/>
      <c r="J45" s="25"/>
      <c r="K45" s="180"/>
      <c r="L45" s="24"/>
      <c r="M45" s="25"/>
      <c r="N45" s="25"/>
      <c r="O45" s="180"/>
      <c r="R45" s="24" t="s">
        <v>75</v>
      </c>
      <c r="T45" s="58"/>
      <c r="U45" s="24"/>
      <c r="W45" s="24" t="s">
        <v>76</v>
      </c>
      <c r="Y45" s="24" t="s">
        <v>76</v>
      </c>
      <c r="AA45" s="24"/>
      <c r="AC45" s="24"/>
      <c r="AD45" s="24"/>
      <c r="AE45" s="58"/>
      <c r="AG45" s="24"/>
      <c r="AH45" s="24"/>
      <c r="AI45" s="58"/>
      <c r="AK45" s="24"/>
      <c r="AL45" s="24"/>
      <c r="AN45" s="138"/>
      <c r="AO45" s="203"/>
      <c r="AP45" s="138"/>
      <c r="AQ45" s="138"/>
      <c r="AR45" s="138"/>
      <c r="AS45" s="133"/>
      <c r="AT45" s="133"/>
      <c r="AU45" s="133"/>
    </row>
    <row r="46" spans="1:47" s="2" customFormat="1" ht="15">
      <c r="A46" s="18"/>
      <c r="B46" s="18"/>
      <c r="C46" s="24"/>
      <c r="D46" s="24"/>
      <c r="G46" s="25"/>
      <c r="H46" s="25"/>
      <c r="I46" s="25"/>
      <c r="J46" s="25"/>
      <c r="K46" s="181"/>
      <c r="L46" s="25"/>
      <c r="M46" s="25"/>
      <c r="N46" s="25"/>
      <c r="O46" s="181"/>
      <c r="R46" s="26"/>
      <c r="T46" s="59"/>
      <c r="U46" s="26"/>
      <c r="W46" s="24"/>
      <c r="Y46" s="24"/>
      <c r="AA46" s="24"/>
      <c r="AC46" s="24"/>
      <c r="AD46" s="24"/>
      <c r="AE46" s="59"/>
      <c r="AG46" s="24"/>
      <c r="AH46" s="24"/>
      <c r="AI46" s="59"/>
      <c r="AK46" s="24"/>
      <c r="AL46" s="24"/>
      <c r="AN46" s="138"/>
      <c r="AO46" s="203"/>
      <c r="AP46" s="138"/>
      <c r="AQ46" s="138"/>
      <c r="AR46" s="138"/>
      <c r="AS46" s="133"/>
      <c r="AT46" s="133"/>
      <c r="AU46" s="133"/>
    </row>
    <row r="47" spans="1:47" s="2" customFormat="1" ht="15">
      <c r="A47" s="32" t="s">
        <v>77</v>
      </c>
      <c r="B47" s="187"/>
      <c r="C47" s="24"/>
      <c r="D47" s="32" t="s">
        <v>78</v>
      </c>
      <c r="G47" s="25"/>
      <c r="H47" s="25"/>
      <c r="I47" s="25"/>
      <c r="K47" s="183"/>
      <c r="L47" s="190" t="s">
        <v>79</v>
      </c>
      <c r="M47" s="25"/>
      <c r="N47" s="25"/>
      <c r="R47" s="32" t="s">
        <v>80</v>
      </c>
      <c r="T47" s="32"/>
      <c r="U47" s="32" t="s">
        <v>81</v>
      </c>
      <c r="W47" s="32" t="s">
        <v>82</v>
      </c>
      <c r="Y47" s="32" t="s">
        <v>82</v>
      </c>
      <c r="AA47" s="32"/>
      <c r="AC47" s="32"/>
      <c r="AD47" s="24"/>
      <c r="AE47" s="59"/>
      <c r="AG47" s="32"/>
      <c r="AH47" s="24"/>
      <c r="AI47" s="59"/>
      <c r="AK47" s="32"/>
      <c r="AL47" s="24"/>
      <c r="AN47" s="138"/>
      <c r="AO47" s="203"/>
      <c r="AP47" s="138"/>
      <c r="AQ47" s="138"/>
      <c r="AR47" s="138"/>
      <c r="AS47" s="133"/>
      <c r="AT47" s="133"/>
      <c r="AU47" s="133"/>
    </row>
    <row r="48" spans="1:47" s="33" customFormat="1">
      <c r="A48" s="65" t="s">
        <v>83</v>
      </c>
      <c r="B48" s="65"/>
      <c r="D48" s="33" t="s">
        <v>84</v>
      </c>
      <c r="K48" s="182"/>
      <c r="L48" s="66" t="s">
        <v>85</v>
      </c>
      <c r="R48" s="66" t="s">
        <v>86</v>
      </c>
      <c r="T48" s="66"/>
      <c r="U48" s="66" t="s">
        <v>87</v>
      </c>
      <c r="W48" s="67" t="s">
        <v>88</v>
      </c>
      <c r="Y48" s="66" t="s">
        <v>89</v>
      </c>
      <c r="AA48" s="67"/>
      <c r="AC48" s="67"/>
      <c r="AE48" s="67"/>
      <c r="AG48" s="67"/>
      <c r="AI48" s="67"/>
      <c r="AK48" s="67"/>
      <c r="AN48" s="139"/>
      <c r="AO48" s="204"/>
      <c r="AP48" s="139"/>
      <c r="AQ48" s="139"/>
      <c r="AR48" s="139"/>
      <c r="AS48" s="140"/>
      <c r="AT48" s="140"/>
      <c r="AU48" s="140"/>
    </row>
    <row r="51" spans="2:44" s="116" customFormat="1" ht="15" hidden="1" outlineLevel="1">
      <c r="B51" s="115" t="s">
        <v>58</v>
      </c>
      <c r="AN51" s="123"/>
      <c r="AP51" s="123"/>
      <c r="AQ51" s="123"/>
      <c r="AR51" s="123"/>
    </row>
    <row r="52" spans="2:44" s="116" customFormat="1" ht="15" hidden="1" outlineLevel="1">
      <c r="B52" s="115" t="s">
        <v>59</v>
      </c>
      <c r="AN52" s="123"/>
      <c r="AP52" s="123"/>
      <c r="AQ52" s="123"/>
      <c r="AR52" s="123"/>
    </row>
    <row r="53" spans="2:44" s="116" customFormat="1" ht="15" hidden="1" outlineLevel="1">
      <c r="B53" s="115" t="s">
        <v>90</v>
      </c>
      <c r="AN53" s="123"/>
      <c r="AP53" s="123"/>
      <c r="AQ53" s="123"/>
      <c r="AR53" s="123"/>
    </row>
    <row r="54" spans="2:44" collapsed="1"/>
  </sheetData>
  <mergeCells count="163">
    <mergeCell ref="U19:V19"/>
    <mergeCell ref="Q31:T31"/>
    <mergeCell ref="Q32:T32"/>
    <mergeCell ref="U22:X22"/>
    <mergeCell ref="W19:X19"/>
    <mergeCell ref="U20:V20"/>
    <mergeCell ref="W20:X20"/>
    <mergeCell ref="Q19:R19"/>
    <mergeCell ref="S19:T19"/>
    <mergeCell ref="Q20:R20"/>
    <mergeCell ref="S20:T20"/>
    <mergeCell ref="AK19:AL19"/>
    <mergeCell ref="AK20:AL20"/>
    <mergeCell ref="AM19:AN19"/>
    <mergeCell ref="AM20:AN20"/>
    <mergeCell ref="AG19:AH19"/>
    <mergeCell ref="AI19:AJ19"/>
    <mergeCell ref="AG20:AH20"/>
    <mergeCell ref="AI20:AJ20"/>
    <mergeCell ref="Y16:Z16"/>
    <mergeCell ref="AA16:AB16"/>
    <mergeCell ref="AC16:AD16"/>
    <mergeCell ref="AE16:AF16"/>
    <mergeCell ref="AG16:AH16"/>
    <mergeCell ref="AI17:AJ17"/>
    <mergeCell ref="AC19:AD19"/>
    <mergeCell ref="AE19:AF19"/>
    <mergeCell ref="AC20:AD20"/>
    <mergeCell ref="AE20:AF20"/>
    <mergeCell ref="Y19:Z19"/>
    <mergeCell ref="AA19:AB19"/>
    <mergeCell ref="Y20:Z20"/>
    <mergeCell ref="AA20:AB20"/>
    <mergeCell ref="U17:V17"/>
    <mergeCell ref="W17:X17"/>
    <mergeCell ref="Q17:R17"/>
    <mergeCell ref="S17:T17"/>
    <mergeCell ref="S16:T16"/>
    <mergeCell ref="Q16:R16"/>
    <mergeCell ref="U16:V16"/>
    <mergeCell ref="W16:X16"/>
    <mergeCell ref="AG17:AH17"/>
    <mergeCell ref="AC17:AD17"/>
    <mergeCell ref="AE17:AF17"/>
    <mergeCell ref="Y17:Z17"/>
    <mergeCell ref="AA17:AB17"/>
    <mergeCell ref="AI15:AJ15"/>
    <mergeCell ref="AK15:AL15"/>
    <mergeCell ref="AM15:AN15"/>
    <mergeCell ref="AM17:AN17"/>
    <mergeCell ref="AK17:AL17"/>
    <mergeCell ref="AI16:AJ16"/>
    <mergeCell ref="AK16:AL16"/>
    <mergeCell ref="AM16:AN16"/>
    <mergeCell ref="Y15:Z15"/>
    <mergeCell ref="AC15:AD15"/>
    <mergeCell ref="AG15:AH15"/>
    <mergeCell ref="W15:X15"/>
    <mergeCell ref="AA15:AB15"/>
    <mergeCell ref="AE15:AF15"/>
    <mergeCell ref="I15:J15"/>
    <mergeCell ref="K15:L15"/>
    <mergeCell ref="Q15:R15"/>
    <mergeCell ref="S15:T15"/>
    <mergeCell ref="U15:V15"/>
    <mergeCell ref="M15:N15"/>
    <mergeCell ref="O10:P10"/>
    <mergeCell ref="O11:P11"/>
    <mergeCell ref="O12:P12"/>
    <mergeCell ref="O13:P13"/>
    <mergeCell ref="M22:O22"/>
    <mergeCell ref="Q22:T22"/>
    <mergeCell ref="M17:N17"/>
    <mergeCell ref="M19:N19"/>
    <mergeCell ref="M20:N20"/>
    <mergeCell ref="M16:N16"/>
    <mergeCell ref="G7:G9"/>
    <mergeCell ref="A7:A9"/>
    <mergeCell ref="B7:B9"/>
    <mergeCell ref="C7:D9"/>
    <mergeCell ref="E7:E9"/>
    <mergeCell ref="F7:F9"/>
    <mergeCell ref="H7:H9"/>
    <mergeCell ref="U8:X8"/>
    <mergeCell ref="Y8:AB8"/>
    <mergeCell ref="Q8:T8"/>
    <mergeCell ref="Q7:AN7"/>
    <mergeCell ref="M7:P8"/>
    <mergeCell ref="O9:P9"/>
    <mergeCell ref="AC8:AF8"/>
    <mergeCell ref="AG8:AJ8"/>
    <mergeCell ref="AK8:AN8"/>
    <mergeCell ref="I7:L8"/>
    <mergeCell ref="Y22:AB22"/>
    <mergeCell ref="AC22:AF22"/>
    <mergeCell ref="AG22:AJ22"/>
    <mergeCell ref="AK22:AN22"/>
    <mergeCell ref="AK23:AN23"/>
    <mergeCell ref="M26:O26"/>
    <mergeCell ref="U26:X26"/>
    <mergeCell ref="Y26:AB26"/>
    <mergeCell ref="AC26:AF26"/>
    <mergeCell ref="AG26:AJ26"/>
    <mergeCell ref="AK26:AN26"/>
    <mergeCell ref="M23:O23"/>
    <mergeCell ref="U23:X23"/>
    <mergeCell ref="Y23:AB23"/>
    <mergeCell ref="AC23:AF23"/>
    <mergeCell ref="AG23:AJ23"/>
    <mergeCell ref="Q23:T23"/>
    <mergeCell ref="Q26:T26"/>
    <mergeCell ref="AK27:AN27"/>
    <mergeCell ref="M28:O28"/>
    <mergeCell ref="U28:X28"/>
    <mergeCell ref="Y28:AB28"/>
    <mergeCell ref="AC28:AF28"/>
    <mergeCell ref="AG28:AJ28"/>
    <mergeCell ref="AK28:AN28"/>
    <mergeCell ref="M27:O27"/>
    <mergeCell ref="U27:X27"/>
    <mergeCell ref="Y27:AB27"/>
    <mergeCell ref="AC27:AF27"/>
    <mergeCell ref="AG27:AJ27"/>
    <mergeCell ref="Q27:T27"/>
    <mergeCell ref="Q28:T28"/>
    <mergeCell ref="AK29:AN29"/>
    <mergeCell ref="M30:O30"/>
    <mergeCell ref="U30:X30"/>
    <mergeCell ref="Y30:AB30"/>
    <mergeCell ref="AC30:AF30"/>
    <mergeCell ref="AG30:AJ30"/>
    <mergeCell ref="AK30:AN30"/>
    <mergeCell ref="M29:O29"/>
    <mergeCell ref="U29:X29"/>
    <mergeCell ref="Y29:AB29"/>
    <mergeCell ref="AC29:AF29"/>
    <mergeCell ref="AG29:AJ29"/>
    <mergeCell ref="Q29:T29"/>
    <mergeCell ref="Q30:T30"/>
    <mergeCell ref="B34:I35"/>
    <mergeCell ref="X35:X41"/>
    <mergeCell ref="B37:I38"/>
    <mergeCell ref="B43:R43"/>
    <mergeCell ref="AK31:AN31"/>
    <mergeCell ref="M32:O32"/>
    <mergeCell ref="U32:X32"/>
    <mergeCell ref="Y32:AB32"/>
    <mergeCell ref="AC32:AF32"/>
    <mergeCell ref="AG32:AJ32"/>
    <mergeCell ref="AK32:AN32"/>
    <mergeCell ref="M31:O31"/>
    <mergeCell ref="U31:X31"/>
    <mergeCell ref="Y31:AB31"/>
    <mergeCell ref="AC31:AF31"/>
    <mergeCell ref="AG31:AJ31"/>
    <mergeCell ref="T39:V39"/>
    <mergeCell ref="T40:V40"/>
    <mergeCell ref="T41:V41"/>
    <mergeCell ref="T34:V34"/>
    <mergeCell ref="T35:V35"/>
    <mergeCell ref="T36:V36"/>
    <mergeCell ref="T37:V37"/>
    <mergeCell ref="T38:V38"/>
  </mergeCells>
  <dataValidations count="2">
    <dataValidation type="list" allowBlank="1" showInputMessage="1" showErrorMessage="1" sqref="H49:H50" xr:uid="{00000000-0002-0000-0000-000000000000}">
      <formula1>"""VAT Inclusive"" ""VAT+$47:$47EXclusive"""</formula1>
    </dataValidation>
    <dataValidation type="list" allowBlank="1" showInputMessage="1" showErrorMessage="1" sqref="M32 AK32 AG32 AC32 Y32 U32 Q32" xr:uid="{00000000-0002-0000-0000-000001000000}">
      <formula1>$B$51:$B$53</formula1>
    </dataValidation>
  </dataValidations>
  <printOptions horizontalCentered="1"/>
  <pageMargins left="0.4" right="0.4" top="0.5" bottom="0.5" header="0.3" footer="0.17"/>
  <pageSetup paperSize="9" scale="4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22</xdr:col>
                    <xdr:colOff>133350</xdr:colOff>
                    <xdr:row>0</xdr:row>
                    <xdr:rowOff>190500</xdr:rowOff>
                  </from>
                  <to>
                    <xdr:col>23</xdr:col>
                    <xdr:colOff>485775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Check Box 6">
              <controlPr defaultSize="0" autoFill="0" autoLine="0" autoPict="0">
                <anchor moveWithCells="1">
                  <from>
                    <xdr:col>22</xdr:col>
                    <xdr:colOff>133350</xdr:colOff>
                    <xdr:row>1</xdr:row>
                    <xdr:rowOff>180975</xdr:rowOff>
                  </from>
                  <to>
                    <xdr:col>23</xdr:col>
                    <xdr:colOff>485775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22</xdr:col>
                    <xdr:colOff>133350</xdr:colOff>
                    <xdr:row>2</xdr:row>
                    <xdr:rowOff>171450</xdr:rowOff>
                  </from>
                  <to>
                    <xdr:col>23</xdr:col>
                    <xdr:colOff>485775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7" name="Check Box 8">
              <controlPr defaultSize="0" autoFill="0" autoLine="0" autoPict="0">
                <anchor moveWithCells="1">
                  <from>
                    <xdr:col>22</xdr:col>
                    <xdr:colOff>133350</xdr:colOff>
                    <xdr:row>3</xdr:row>
                    <xdr:rowOff>171450</xdr:rowOff>
                  </from>
                  <to>
                    <xdr:col>23</xdr:col>
                    <xdr:colOff>485775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" name="Check Box 9">
              <controlPr defaultSize="0" autoFill="0" autoLine="0" autoPict="0">
                <anchor moveWithCells="1">
                  <from>
                    <xdr:col>18</xdr:col>
                    <xdr:colOff>171450</xdr:colOff>
                    <xdr:row>0</xdr:row>
                    <xdr:rowOff>133350</xdr:rowOff>
                  </from>
                  <to>
                    <xdr:col>19</xdr:col>
                    <xdr:colOff>504825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Check Box 10">
              <controlPr defaultSize="0" autoFill="0" autoLine="0" autoPict="0">
                <anchor moveWithCells="1">
                  <from>
                    <xdr:col>18</xdr:col>
                    <xdr:colOff>171450</xdr:colOff>
                    <xdr:row>1</xdr:row>
                    <xdr:rowOff>133350</xdr:rowOff>
                  </from>
                  <to>
                    <xdr:col>19</xdr:col>
                    <xdr:colOff>504825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Check Box 11">
              <controlPr defaultSize="0" autoFill="0" autoLine="0" autoPict="0">
                <anchor moveWithCells="1">
                  <from>
                    <xdr:col>18</xdr:col>
                    <xdr:colOff>171450</xdr:colOff>
                    <xdr:row>2</xdr:row>
                    <xdr:rowOff>123825</xdr:rowOff>
                  </from>
                  <to>
                    <xdr:col>19</xdr:col>
                    <xdr:colOff>504825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Check Box 12">
              <controlPr defaultSize="0" autoFill="0" autoLine="0" autoPict="0">
                <anchor moveWithCells="1">
                  <from>
                    <xdr:col>18</xdr:col>
                    <xdr:colOff>171450</xdr:colOff>
                    <xdr:row>3</xdr:row>
                    <xdr:rowOff>133350</xdr:rowOff>
                  </from>
                  <to>
                    <xdr:col>19</xdr:col>
                    <xdr:colOff>781050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Check Box 13">
              <controlPr defaultSize="0" autoFill="0" autoLine="0" autoPict="0">
                <anchor moveWithCells="1">
                  <from>
                    <xdr:col>18</xdr:col>
                    <xdr:colOff>171450</xdr:colOff>
                    <xdr:row>4</xdr:row>
                    <xdr:rowOff>133350</xdr:rowOff>
                  </from>
                  <to>
                    <xdr:col>19</xdr:col>
                    <xdr:colOff>504825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Check Box 14">
              <controlPr defaultSize="0" autoFill="0" autoLine="0" autoPict="0">
                <anchor moveWithCells="1">
                  <from>
                    <xdr:col>11</xdr:col>
                    <xdr:colOff>161925</xdr:colOff>
                    <xdr:row>2</xdr:row>
                    <xdr:rowOff>0</xdr:rowOff>
                  </from>
                  <to>
                    <xdr:col>11</xdr:col>
                    <xdr:colOff>1076325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Check Box 15">
              <controlPr defaultSize="0" autoFill="0" autoLine="0" autoPict="0">
                <anchor moveWithCells="1">
                  <from>
                    <xdr:col>11</xdr:col>
                    <xdr:colOff>161925</xdr:colOff>
                    <xdr:row>3</xdr:row>
                    <xdr:rowOff>0</xdr:rowOff>
                  </from>
                  <to>
                    <xdr:col>11</xdr:col>
                    <xdr:colOff>1076325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911DFAEAF6B94BB0E025D1DD957062" ma:contentTypeVersion="0" ma:contentTypeDescription="Create a new document." ma:contentTypeScope="" ma:versionID="119ec3a48a4b2cdaa94949c16e61626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67e30616eeadeb776f014c5fbcfd81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VersionID Value="https://cws.connectedpdf.com/cVersionID/BE075A6BA05C0527DD8C49660AA1B8E8~7112A534FFF111E69914E4566E19841875BC2976082E03AB-E5F3C19739EA222D-914BD851C0EEA58F8DB98600"/>
</file>

<file path=customXml/item5.xml><?xml version="1.0" encoding="utf-8"?>
<DocID Value="https://cws.connectedpdf.com/cDocID/BE075A6BA05C0527DD8C49660AA1B8E8~71104398FFF111E69914E4566E19841875BCFEBDC614A71D-18B1B35914086D74-F7CF6CBCBFE065AB051F8600"/>
</file>

<file path=customXml/itemProps1.xml><?xml version="1.0" encoding="utf-8"?>
<ds:datastoreItem xmlns:ds="http://schemas.openxmlformats.org/officeDocument/2006/customXml" ds:itemID="{FCB0A476-87F6-460B-A20A-3E7085F4EA70}"/>
</file>

<file path=customXml/itemProps2.xml><?xml version="1.0" encoding="utf-8"?>
<ds:datastoreItem xmlns:ds="http://schemas.openxmlformats.org/officeDocument/2006/customXml" ds:itemID="{70741427-51FB-4BD8-AD0C-7F677F7DCA63}"/>
</file>

<file path=customXml/itemProps3.xml><?xml version="1.0" encoding="utf-8"?>
<ds:datastoreItem xmlns:ds="http://schemas.openxmlformats.org/officeDocument/2006/customXml" ds:itemID="{A73196BA-476A-4174-BCEA-5281AE7B651F}"/>
</file>

<file path=customXml/itemProps4.xml><?xml version="1.0" encoding="utf-8"?>
<ds:datastoreItem xmlns:ds="http://schemas.openxmlformats.org/officeDocument/2006/customXml" ds:itemID="{55E2D89D-D432-4F6F-B2B9-293E5520D10F}"/>
</file>

<file path=customXml/itemProps5.xml><?xml version="1.0" encoding="utf-8"?>
<ds:datastoreItem xmlns:ds="http://schemas.openxmlformats.org/officeDocument/2006/customXml" ds:itemID="{B7688939-D2AA-4FC4-A0A1-B35A1D60C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S. Grace</dc:creator>
  <cp:keywords/>
  <dc:description/>
  <cp:lastModifiedBy>Dan Errol Bavar</cp:lastModifiedBy>
  <cp:revision/>
  <dcterms:created xsi:type="dcterms:W3CDTF">2013-04-25T03:06:41Z</dcterms:created>
  <dcterms:modified xsi:type="dcterms:W3CDTF">2026-06-17T05:33:29Z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0x010100D0911DFAEAF6B94BB0E025D1DD957062</vt:lpwstr>
  </property>
</Properties>
</file>