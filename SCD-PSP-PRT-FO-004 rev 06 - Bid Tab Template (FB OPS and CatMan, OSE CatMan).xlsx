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jpeg" ContentType="image/jpe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rinterSettings/printerSettings1.bin" ContentType="application/vnd.openxmlformats-officedocument.spreadsheetml.printerSettings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omments1.xml" ContentType="application/vnd.openxmlformats-officedocument.spreadsheetml.comments+xml"/>
  <Override PartName="/xl/printerSettings/printerSettings2.bin" ContentType="application/vnd.openxmlformats-officedocument.spreadsheetml.printerSettings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L:\10. QUALITY MANAGEMENT SYSTEMS\Turn -Over Documents to Mary Ann Arao\Approved SCD QMS Documents\Procurement\Forms\"/>
    </mc:Choice>
  </mc:AlternateContent>
  <bookViews>
    <workbookView xWindow="0" yWindow="0" windowWidth="28800" windowHeight="12375" firstSheet="1" activeTab="1"/>
  </bookViews>
  <sheets>
    <sheet name="Dynamics Enum Cache" sheetId="4" state="veryHidden" r:id="rId1"/>
    <sheet name="Bid Tab (F&amp;B Ops and CatMan) 10" sheetId="3" r:id="rId2"/>
    <sheet name="Header" sheetId="10" r:id="rId3"/>
    <sheet name="Approvers" sheetId="9" state="hidden" r:id="rId4"/>
    <sheet name="Reference" sheetId="2" state="hidden" r:id="rId5"/>
  </sheets>
  <definedNames>
    <definedName name="_01_">Approvers!$J$3:$J$19</definedName>
    <definedName name="_xlnm._FilterDatabase" localSheetId="3" hidden="1">Approvers!$E$1:$AC$207</definedName>
    <definedName name="_xlnm._FilterDatabase" localSheetId="1" hidden="1">'Bid Tab (F&amp;B Ops and CatMan) 10'!$A$10:$CQ$48</definedName>
    <definedName name="_xlnm._FilterDatabase" localSheetId="4" hidden="1">Reference!$G$1:$K$53</definedName>
    <definedName name="AM110000_">Approvers!$J$20:$J$21</definedName>
    <definedName name="COSTCENTER">Approvers!$C$2:$C$208</definedName>
    <definedName name="CP110000_">Approvers!$J$22:$J$24</definedName>
    <definedName name="CT110000_">Approvers!$J$25:$J$27</definedName>
    <definedName name="DEPARTMENT">Approvers!$B$2:$B$109</definedName>
    <definedName name="DIVISION">Approvers!$A$2:$A$28</definedName>
    <definedName name="GM110000_">Approvers!$J$28:$J$33</definedName>
    <definedName name="GM210000_">Approvers!$J$34:$J$36</definedName>
    <definedName name="GM410000_">Approvers!$J$37:$J$39</definedName>
    <definedName name="GM510000_">Approvers!$J$40:$J$48</definedName>
    <definedName name="GM610000_">Approvers!$J$49:$J$49</definedName>
    <definedName name="GM710000_">Approvers!$J$50:$J$53</definedName>
    <definedName name="GM810000_">Approvers!$J$54:$J$56</definedName>
    <definedName name="GM910000_">Approvers!$J$57:$J$60</definedName>
    <definedName name="HS110000_">Approvers!$J$61:$J$84</definedName>
    <definedName name="HS210000_">Approvers!$J$85:$J$131</definedName>
    <definedName name="HS310000_">Approvers!$J$132:$J$134</definedName>
    <definedName name="HS810000_">Approvers!$J$135:$J$142</definedName>
    <definedName name="IA110000_">Approvers!$J$143</definedName>
    <definedName name="MULTI___BU">Approvers!$J$2</definedName>
    <definedName name="_xlnm.Print_Area" localSheetId="1">'Bid Tab (F&amp;B Ops and CatMan) 10'!$A$1:$BG$89</definedName>
    <definedName name="_xlnm.Print_Titles" localSheetId="1">'Bid Tab (F&amp;B Ops and CatMan) 10'!$9:$10</definedName>
    <definedName name="SH110000_">Approvers!$J$144:$J$159</definedName>
    <definedName name="SH110001_">Approvers!$J$157:$J$159</definedName>
    <definedName name="SH112000_">Approvers!$J$160:$J$161</definedName>
    <definedName name="SH113000_">Approvers!$J$162:$J$164</definedName>
    <definedName name="SH210000_">Approvers!$J$165:$J$169</definedName>
    <definedName name="SH310000_">Approvers!$J$170:$J$171</definedName>
    <definedName name="SH410000_">Approvers!$J$172:$J$189</definedName>
    <definedName name="SH510000_">Approvers!$J$190:$J$198</definedName>
    <definedName name="SH810000_">Approvers!$J$199:$J$203</definedName>
    <definedName name="SH910000_">Approvers!$J$204:$J$207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7" i="3" l="1"/>
  <c r="A37" i="2" l="1"/>
  <c r="A36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8" i="2"/>
  <c r="P11" i="3"/>
  <c r="C9" i="10" l="1"/>
  <c r="E9" i="10"/>
  <c r="F9" i="10"/>
  <c r="G9" i="10"/>
  <c r="H9" i="10"/>
  <c r="I9" i="10"/>
  <c r="J9" i="10"/>
  <c r="K9" i="10"/>
  <c r="L9" i="10"/>
  <c r="M9" i="10"/>
  <c r="N9" i="10"/>
  <c r="D87" i="3" l="1"/>
  <c r="D88" i="3" s="1"/>
  <c r="L46" i="3" l="1"/>
  <c r="L45" i="3"/>
  <c r="L44" i="3"/>
  <c r="L43" i="3"/>
  <c r="L42" i="3"/>
  <c r="L41" i="3"/>
  <c r="L40" i="3"/>
  <c r="L39" i="3"/>
  <c r="L37" i="3"/>
  <c r="L38" i="3"/>
  <c r="K46" i="3"/>
  <c r="K45" i="3"/>
  <c r="K44" i="3"/>
  <c r="K43" i="3"/>
  <c r="K42" i="3"/>
  <c r="K41" i="3"/>
  <c r="K40" i="3"/>
  <c r="K39" i="3"/>
  <c r="K38" i="3"/>
  <c r="K37" i="3"/>
  <c r="X30" i="3" l="1"/>
  <c r="X29" i="3"/>
  <c r="X28" i="3"/>
  <c r="X27" i="3"/>
  <c r="X26" i="3"/>
  <c r="X25" i="3"/>
  <c r="X24" i="3"/>
  <c r="X23" i="3"/>
  <c r="X22" i="3"/>
  <c r="X21" i="3"/>
  <c r="X20" i="3"/>
  <c r="X19" i="3"/>
  <c r="X18" i="3"/>
  <c r="X17" i="3"/>
  <c r="X16" i="3"/>
  <c r="X15" i="3"/>
  <c r="X14" i="3"/>
  <c r="X13" i="3"/>
  <c r="X12" i="3"/>
  <c r="X11" i="3"/>
  <c r="Z30" i="3"/>
  <c r="W30" i="3" s="1"/>
  <c r="Z29" i="3"/>
  <c r="Z28" i="3"/>
  <c r="W28" i="3" s="1"/>
  <c r="Z27" i="3"/>
  <c r="W27" i="3" s="1"/>
  <c r="Z26" i="3"/>
  <c r="Z25" i="3"/>
  <c r="W25" i="3" s="1"/>
  <c r="Z24" i="3"/>
  <c r="W24" i="3" s="1"/>
  <c r="Z23" i="3"/>
  <c r="Z22" i="3"/>
  <c r="W22" i="3" s="1"/>
  <c r="Z21" i="3"/>
  <c r="W21" i="3" s="1"/>
  <c r="Z20" i="3"/>
  <c r="Z19" i="3"/>
  <c r="W19" i="3" s="1"/>
  <c r="Z18" i="3"/>
  <c r="W18" i="3" s="1"/>
  <c r="Z17" i="3"/>
  <c r="W17" i="3" s="1"/>
  <c r="Z16" i="3"/>
  <c r="W16" i="3" s="1"/>
  <c r="Z15" i="3"/>
  <c r="W15" i="3" s="1"/>
  <c r="Z14" i="3"/>
  <c r="Z13" i="3"/>
  <c r="W13" i="3" s="1"/>
  <c r="Z12" i="3"/>
  <c r="W12" i="3" s="1"/>
  <c r="Z1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W11" i="3" l="1"/>
  <c r="AG11" i="3"/>
  <c r="N14" i="3"/>
  <c r="N29" i="3"/>
  <c r="S29" i="3" s="1"/>
  <c r="AA26" i="3"/>
  <c r="AA20" i="3"/>
  <c r="N23" i="3"/>
  <c r="M23" i="3" s="1"/>
  <c r="AA12" i="3"/>
  <c r="AA21" i="3"/>
  <c r="AA24" i="3"/>
  <c r="AA15" i="3"/>
  <c r="N21" i="3"/>
  <c r="M21" i="3" s="1"/>
  <c r="AA27" i="3"/>
  <c r="AA28" i="3"/>
  <c r="AA16" i="3"/>
  <c r="N22" i="3"/>
  <c r="S22" i="3" s="1"/>
  <c r="N28" i="3"/>
  <c r="S28" i="3" s="1"/>
  <c r="AA29" i="3"/>
  <c r="N12" i="3"/>
  <c r="S12" i="3" s="1"/>
  <c r="N18" i="3"/>
  <c r="S18" i="3" s="1"/>
  <c r="N24" i="3"/>
  <c r="M24" i="3" s="1"/>
  <c r="N30" i="3"/>
  <c r="M30" i="3" s="1"/>
  <c r="S14" i="3"/>
  <c r="M14" i="3"/>
  <c r="AA14" i="3"/>
  <c r="AA22" i="3"/>
  <c r="N15" i="3"/>
  <c r="N27" i="3"/>
  <c r="AA23" i="3"/>
  <c r="AA30" i="3"/>
  <c r="AA17" i="3"/>
  <c r="N16" i="3"/>
  <c r="W14" i="3"/>
  <c r="W23" i="3"/>
  <c r="W29" i="3"/>
  <c r="N17" i="3"/>
  <c r="W26" i="3"/>
  <c r="N26" i="3"/>
  <c r="AA18" i="3"/>
  <c r="AA13" i="3"/>
  <c r="AA19" i="3"/>
  <c r="AA25" i="3"/>
  <c r="W20" i="3"/>
  <c r="N20" i="3"/>
  <c r="N13" i="3"/>
  <c r="N19" i="3"/>
  <c r="N25" i="3"/>
  <c r="AA11" i="3"/>
  <c r="N11" i="3"/>
  <c r="AB11" i="3" s="1"/>
  <c r="M29" i="3" l="1"/>
  <c r="S21" i="3"/>
  <c r="S23" i="3"/>
  <c r="S30" i="3"/>
  <c r="S24" i="3"/>
  <c r="M28" i="3"/>
  <c r="M22" i="3"/>
  <c r="M12" i="3"/>
  <c r="M18" i="3"/>
  <c r="S15" i="3"/>
  <c r="M15" i="3"/>
  <c r="S27" i="3"/>
  <c r="M27" i="3"/>
  <c r="S20" i="3"/>
  <c r="M20" i="3"/>
  <c r="S26" i="3"/>
  <c r="M26" i="3"/>
  <c r="S16" i="3"/>
  <c r="M16" i="3"/>
  <c r="S19" i="3"/>
  <c r="M19" i="3"/>
  <c r="S13" i="3"/>
  <c r="M13" i="3"/>
  <c r="S17" i="3"/>
  <c r="M17" i="3"/>
  <c r="S25" i="3"/>
  <c r="M25" i="3"/>
  <c r="M11" i="3"/>
  <c r="S11" i="3"/>
  <c r="AG30" i="3"/>
  <c r="AH30" i="3" s="1"/>
  <c r="AG29" i="3"/>
  <c r="AH29" i="3" s="1"/>
  <c r="AG28" i="3"/>
  <c r="AH28" i="3" s="1"/>
  <c r="AG27" i="3"/>
  <c r="AH27" i="3" s="1"/>
  <c r="AG26" i="3"/>
  <c r="AH26" i="3" s="1"/>
  <c r="AG25" i="3"/>
  <c r="AH25" i="3" s="1"/>
  <c r="AG24" i="3"/>
  <c r="AH24" i="3" s="1"/>
  <c r="AG23" i="3"/>
  <c r="AH23" i="3" s="1"/>
  <c r="AG22" i="3"/>
  <c r="AH22" i="3" s="1"/>
  <c r="AG21" i="3"/>
  <c r="AH21" i="3" s="1"/>
  <c r="AG20" i="3"/>
  <c r="AH20" i="3" s="1"/>
  <c r="AG19" i="3"/>
  <c r="AH19" i="3" s="1"/>
  <c r="AG18" i="3"/>
  <c r="AH18" i="3" s="1"/>
  <c r="AG17" i="3"/>
  <c r="AH17" i="3" s="1"/>
  <c r="AG16" i="3"/>
  <c r="AH16" i="3" s="1"/>
  <c r="AG15" i="3"/>
  <c r="AH15" i="3" s="1"/>
  <c r="AG14" i="3"/>
  <c r="AH14" i="3" s="1"/>
  <c r="AG13" i="3"/>
  <c r="AH13" i="3" s="1"/>
  <c r="AG12" i="3"/>
  <c r="AH12" i="3" s="1"/>
  <c r="N10" i="10" l="1"/>
  <c r="N11" i="10"/>
  <c r="N12" i="10"/>
  <c r="N13" i="10"/>
  <c r="N14" i="10"/>
  <c r="N15" i="10"/>
  <c r="N16" i="10"/>
  <c r="N17" i="10"/>
  <c r="N18" i="10"/>
  <c r="N19" i="10"/>
  <c r="C20" i="10"/>
  <c r="E25" i="10" l="1"/>
  <c r="AH1" i="9" l="1"/>
  <c r="AR93" i="3" s="1"/>
  <c r="AF1" i="9"/>
  <c r="BP93" i="3" l="1"/>
  <c r="BP91" i="3"/>
  <c r="BP90" i="3" s="1"/>
  <c r="BL91" i="3"/>
  <c r="BN93" i="3"/>
  <c r="BN91" i="3"/>
  <c r="BN90" i="3" s="1"/>
  <c r="BL93" i="3"/>
  <c r="AZ95" i="3"/>
  <c r="AZ97" i="3"/>
  <c r="BR93" i="3"/>
  <c r="BR91" i="3"/>
  <c r="BR90" i="3" s="1"/>
  <c r="AX99" i="3"/>
  <c r="BD97" i="3"/>
  <c r="AX95" i="3"/>
  <c r="BF91" i="3"/>
  <c r="AZ91" i="3"/>
  <c r="BB97" i="3"/>
  <c r="BV91" i="3"/>
  <c r="BV90" i="3" s="1"/>
  <c r="BJ93" i="3"/>
  <c r="AX93" i="3"/>
  <c r="BH95" i="3"/>
  <c r="BD91" i="3"/>
  <c r="BH97" i="3"/>
  <c r="BB95" i="3"/>
  <c r="BV93" i="3"/>
  <c r="BJ91" i="3"/>
  <c r="BD93" i="3"/>
  <c r="AX91" i="3"/>
  <c r="BD95" i="3"/>
  <c r="BF93" i="3"/>
  <c r="BF97" i="3"/>
  <c r="BT93" i="3"/>
  <c r="BH91" i="3"/>
  <c r="BB93" i="3"/>
  <c r="BF95" i="3"/>
  <c r="BT91" i="3"/>
  <c r="BT90" i="3" s="1"/>
  <c r="BH93" i="3"/>
  <c r="BB91" i="3"/>
  <c r="AX101" i="3"/>
  <c r="AX97" i="3"/>
  <c r="AZ93" i="3"/>
  <c r="AZ99" i="3"/>
  <c r="AZ101" i="3"/>
  <c r="AR87" i="3"/>
  <c r="AR88" i="3" s="1"/>
  <c r="AI91" i="3"/>
  <c r="AI85" i="3" s="1"/>
  <c r="AU91" i="3"/>
  <c r="AU85" i="3" s="1"/>
  <c r="AU93" i="3"/>
  <c r="AR91" i="3"/>
  <c r="AR85" i="3" s="1"/>
  <c r="AO91" i="3"/>
  <c r="AO85" i="3" s="1"/>
  <c r="AO93" i="3"/>
  <c r="AO87" i="3" s="1"/>
  <c r="AO88" i="3" s="1"/>
  <c r="AL91" i="3"/>
  <c r="AL85" i="3" s="1"/>
  <c r="AL93" i="3"/>
  <c r="AL87" i="3" s="1"/>
  <c r="AL88" i="3" s="1"/>
  <c r="AI93" i="3"/>
  <c r="AI87" i="3" s="1"/>
  <c r="AI88" i="3" s="1"/>
  <c r="AU87" i="3" l="1"/>
  <c r="AU88" i="3" s="1"/>
  <c r="BX93" i="3"/>
  <c r="BX91" i="3"/>
  <c r="B41" i="3"/>
  <c r="B46" i="3"/>
  <c r="B45" i="3"/>
  <c r="B44" i="3"/>
  <c r="B43" i="3"/>
  <c r="B42" i="3"/>
  <c r="B40" i="3"/>
  <c r="B39" i="3"/>
  <c r="B38" i="3"/>
  <c r="B37" i="3"/>
  <c r="BX90" i="3" l="1"/>
  <c r="V12" i="3"/>
  <c r="V18" i="3"/>
  <c r="C19" i="10"/>
  <c r="C12" i="10"/>
  <c r="C16" i="10"/>
  <c r="C10" i="10"/>
  <c r="C11" i="10"/>
  <c r="C18" i="10"/>
  <c r="AI15" i="3"/>
  <c r="AI21" i="3"/>
  <c r="AI27" i="3"/>
  <c r="AI22" i="3"/>
  <c r="AI28" i="3"/>
  <c r="AI23" i="3"/>
  <c r="AI29" i="3"/>
  <c r="AI17" i="3"/>
  <c r="AI12" i="3"/>
  <c r="AI18" i="3"/>
  <c r="AI24" i="3"/>
  <c r="AI30" i="3"/>
  <c r="AI13" i="3"/>
  <c r="AI25" i="3"/>
  <c r="AI19" i="3"/>
  <c r="AI14" i="3"/>
  <c r="AI20" i="3"/>
  <c r="AI26" i="3"/>
  <c r="V24" i="3"/>
  <c r="AI16" i="3"/>
  <c r="V13" i="3"/>
  <c r="V19" i="3"/>
  <c r="V25" i="3"/>
  <c r="V14" i="3"/>
  <c r="V26" i="3"/>
  <c r="V15" i="3"/>
  <c r="V21" i="3"/>
  <c r="V27" i="3"/>
  <c r="V20" i="3"/>
  <c r="V29" i="3"/>
  <c r="V16" i="3"/>
  <c r="V22" i="3"/>
  <c r="V28" i="3"/>
  <c r="V11" i="3"/>
  <c r="V17" i="3"/>
  <c r="V23" i="3"/>
  <c r="V30" i="3"/>
  <c r="C15" i="10"/>
  <c r="C13" i="10"/>
  <c r="C6" i="2"/>
  <c r="C14" i="10"/>
  <c r="C9" i="2"/>
  <c r="C17" i="10"/>
  <c r="C7" i="2"/>
  <c r="C5" i="2"/>
  <c r="C4" i="2"/>
  <c r="C2" i="2"/>
  <c r="C3" i="2"/>
  <c r="C11" i="2"/>
  <c r="C10" i="2"/>
  <c r="C8" i="2"/>
  <c r="CL48" i="3"/>
  <c r="CF48" i="3"/>
  <c r="BZ48" i="3"/>
  <c r="BT48" i="3"/>
  <c r="BN48" i="3"/>
  <c r="BH48" i="3"/>
  <c r="BB48" i="3"/>
  <c r="AV48" i="3"/>
  <c r="AP48" i="3"/>
  <c r="AJ48" i="3"/>
  <c r="CO27" i="3"/>
  <c r="CN27" i="3"/>
  <c r="CI27" i="3"/>
  <c r="CH27" i="3"/>
  <c r="CC27" i="3"/>
  <c r="CB27" i="3"/>
  <c r="BW27" i="3"/>
  <c r="BV27" i="3"/>
  <c r="BQ27" i="3"/>
  <c r="BP27" i="3"/>
  <c r="BK27" i="3"/>
  <c r="BJ27" i="3"/>
  <c r="BE27" i="3"/>
  <c r="BD27" i="3"/>
  <c r="AY27" i="3"/>
  <c r="AX27" i="3"/>
  <c r="AS27" i="3"/>
  <c r="AR27" i="3"/>
  <c r="AM27" i="3"/>
  <c r="Q27" i="3"/>
  <c r="T27" i="3"/>
  <c r="U27" i="3" s="1"/>
  <c r="P27" i="3"/>
  <c r="AB27" i="3" s="1"/>
  <c r="CO26" i="3"/>
  <c r="CN26" i="3"/>
  <c r="CI26" i="3"/>
  <c r="CH26" i="3"/>
  <c r="CC26" i="3"/>
  <c r="CB26" i="3"/>
  <c r="BW26" i="3"/>
  <c r="BV26" i="3"/>
  <c r="BQ26" i="3"/>
  <c r="BP26" i="3"/>
  <c r="BK26" i="3"/>
  <c r="BJ26" i="3"/>
  <c r="BE26" i="3"/>
  <c r="BD26" i="3"/>
  <c r="AY26" i="3"/>
  <c r="AX26" i="3"/>
  <c r="T26" i="3"/>
  <c r="U26" i="3" s="1"/>
  <c r="AM26" i="3"/>
  <c r="AL26" i="3"/>
  <c r="P26" i="3"/>
  <c r="AB26" i="3" s="1"/>
  <c r="P21" i="3"/>
  <c r="AB21" i="3" s="1"/>
  <c r="T21" i="3"/>
  <c r="U21" i="3" s="1"/>
  <c r="AL21" i="3"/>
  <c r="AM21" i="3"/>
  <c r="R21" i="3"/>
  <c r="AR21" i="3"/>
  <c r="AS21" i="3"/>
  <c r="AX21" i="3"/>
  <c r="AY21" i="3"/>
  <c r="BD21" i="3"/>
  <c r="BE21" i="3"/>
  <c r="BJ21" i="3"/>
  <c r="BK21" i="3"/>
  <c r="BP21" i="3"/>
  <c r="BQ21" i="3"/>
  <c r="BV21" i="3"/>
  <c r="BW21" i="3"/>
  <c r="CB21" i="3"/>
  <c r="CC21" i="3"/>
  <c r="CH21" i="3"/>
  <c r="CI21" i="3"/>
  <c r="CN21" i="3"/>
  <c r="CO21" i="3"/>
  <c r="P22" i="3"/>
  <c r="AB22" i="3" s="1"/>
  <c r="R22" i="3"/>
  <c r="AL22" i="3"/>
  <c r="AM22" i="3"/>
  <c r="AR22" i="3"/>
  <c r="AS22" i="3"/>
  <c r="AX22" i="3"/>
  <c r="AY22" i="3"/>
  <c r="BD22" i="3"/>
  <c r="BE22" i="3"/>
  <c r="BJ22" i="3"/>
  <c r="BK22" i="3"/>
  <c r="BP22" i="3"/>
  <c r="BQ22" i="3"/>
  <c r="BV22" i="3"/>
  <c r="BW22" i="3"/>
  <c r="CB22" i="3"/>
  <c r="CC22" i="3"/>
  <c r="CH22" i="3"/>
  <c r="CI22" i="3"/>
  <c r="CN22" i="3"/>
  <c r="CO22" i="3"/>
  <c r="P23" i="3"/>
  <c r="AB23" i="3" s="1"/>
  <c r="AL23" i="3"/>
  <c r="R23" i="3"/>
  <c r="AR23" i="3"/>
  <c r="AX23" i="3"/>
  <c r="AY23" i="3"/>
  <c r="BD23" i="3"/>
  <c r="BE23" i="3"/>
  <c r="BJ23" i="3"/>
  <c r="BK23" i="3"/>
  <c r="BP23" i="3"/>
  <c r="BQ23" i="3"/>
  <c r="BV23" i="3"/>
  <c r="BW23" i="3"/>
  <c r="CB23" i="3"/>
  <c r="CC23" i="3"/>
  <c r="CH23" i="3"/>
  <c r="CI23" i="3"/>
  <c r="CN23" i="3"/>
  <c r="CO23" i="3"/>
  <c r="P24" i="3"/>
  <c r="AB24" i="3" s="1"/>
  <c r="AL24" i="3"/>
  <c r="AS24" i="3"/>
  <c r="AR24" i="3"/>
  <c r="AX24" i="3"/>
  <c r="AY24" i="3"/>
  <c r="BD24" i="3"/>
  <c r="BE24" i="3"/>
  <c r="BJ24" i="3"/>
  <c r="BK24" i="3"/>
  <c r="BP24" i="3"/>
  <c r="BQ24" i="3"/>
  <c r="BV24" i="3"/>
  <c r="BW24" i="3"/>
  <c r="CB24" i="3"/>
  <c r="CC24" i="3"/>
  <c r="CH24" i="3"/>
  <c r="CI24" i="3"/>
  <c r="CN24" i="3"/>
  <c r="CO24" i="3"/>
  <c r="P25" i="3"/>
  <c r="AB25" i="3" s="1"/>
  <c r="R25" i="3"/>
  <c r="T25" i="3"/>
  <c r="U25" i="3" s="1"/>
  <c r="AS25" i="3"/>
  <c r="AR25" i="3"/>
  <c r="AX25" i="3"/>
  <c r="AY25" i="3"/>
  <c r="BD25" i="3"/>
  <c r="BE25" i="3"/>
  <c r="BJ25" i="3"/>
  <c r="BK25" i="3"/>
  <c r="BP25" i="3"/>
  <c r="BQ25" i="3"/>
  <c r="BV25" i="3"/>
  <c r="BW25" i="3"/>
  <c r="CB25" i="3"/>
  <c r="CC25" i="3"/>
  <c r="CH25" i="3"/>
  <c r="CI25" i="3"/>
  <c r="CN25" i="3"/>
  <c r="CO25" i="3"/>
  <c r="P28" i="3"/>
  <c r="AB28" i="3" s="1"/>
  <c r="R28" i="3"/>
  <c r="AL28" i="3"/>
  <c r="AR28" i="3"/>
  <c r="AX28" i="3"/>
  <c r="AY28" i="3"/>
  <c r="BD28" i="3"/>
  <c r="BE28" i="3"/>
  <c r="BJ28" i="3"/>
  <c r="BK28" i="3"/>
  <c r="BP28" i="3"/>
  <c r="BQ28" i="3"/>
  <c r="BV28" i="3"/>
  <c r="BW28" i="3"/>
  <c r="CB28" i="3"/>
  <c r="CC28" i="3"/>
  <c r="CH28" i="3"/>
  <c r="CI28" i="3"/>
  <c r="CN28" i="3"/>
  <c r="CO28" i="3"/>
  <c r="P29" i="3"/>
  <c r="AB29" i="3" s="1"/>
  <c r="R29" i="3"/>
  <c r="T29" i="3"/>
  <c r="U29" i="3" s="1"/>
  <c r="AM29" i="3"/>
  <c r="AS29" i="3"/>
  <c r="AR29" i="3"/>
  <c r="AX29" i="3"/>
  <c r="AY29" i="3"/>
  <c r="BD29" i="3"/>
  <c r="BE29" i="3"/>
  <c r="BJ29" i="3"/>
  <c r="BK29" i="3"/>
  <c r="BP29" i="3"/>
  <c r="BQ29" i="3"/>
  <c r="BV29" i="3"/>
  <c r="BW29" i="3"/>
  <c r="CB29" i="3"/>
  <c r="CC29" i="3"/>
  <c r="CH29" i="3"/>
  <c r="CI29" i="3"/>
  <c r="CN29" i="3"/>
  <c r="CO29" i="3"/>
  <c r="P30" i="3"/>
  <c r="AB30" i="3" s="1"/>
  <c r="AL30" i="3"/>
  <c r="AR30" i="3"/>
  <c r="AX30" i="3"/>
  <c r="AY30" i="3"/>
  <c r="BD30" i="3"/>
  <c r="BE30" i="3"/>
  <c r="BJ30" i="3"/>
  <c r="BK30" i="3"/>
  <c r="BP30" i="3"/>
  <c r="BQ30" i="3"/>
  <c r="BV30" i="3"/>
  <c r="BW30" i="3"/>
  <c r="CB30" i="3"/>
  <c r="CC30" i="3"/>
  <c r="CH30" i="3"/>
  <c r="CI30" i="3"/>
  <c r="CN30" i="3"/>
  <c r="CO30" i="3"/>
  <c r="CL50" i="3"/>
  <c r="CF50" i="3"/>
  <c r="BZ50" i="3"/>
  <c r="CL40" i="3"/>
  <c r="CF40" i="3"/>
  <c r="BZ40" i="3"/>
  <c r="CO20" i="3"/>
  <c r="CN20" i="3"/>
  <c r="CI20" i="3"/>
  <c r="CH20" i="3"/>
  <c r="CC20" i="3"/>
  <c r="CB20" i="3"/>
  <c r="CO19" i="3"/>
  <c r="CN19" i="3"/>
  <c r="CI19" i="3"/>
  <c r="CH19" i="3"/>
  <c r="CC19" i="3"/>
  <c r="CB19" i="3"/>
  <c r="CO18" i="3"/>
  <c r="CN18" i="3"/>
  <c r="CI18" i="3"/>
  <c r="CH18" i="3"/>
  <c r="CC18" i="3"/>
  <c r="CB18" i="3"/>
  <c r="CO17" i="3"/>
  <c r="CN17" i="3"/>
  <c r="CI17" i="3"/>
  <c r="CH17" i="3"/>
  <c r="CC17" i="3"/>
  <c r="CB17" i="3"/>
  <c r="CO16" i="3"/>
  <c r="CN16" i="3"/>
  <c r="CI16" i="3"/>
  <c r="CH16" i="3"/>
  <c r="CC16" i="3"/>
  <c r="CB16" i="3"/>
  <c r="CO15" i="3"/>
  <c r="CN15" i="3"/>
  <c r="CI15" i="3"/>
  <c r="CH15" i="3"/>
  <c r="CC15" i="3"/>
  <c r="CB15" i="3"/>
  <c r="CO14" i="3"/>
  <c r="CN14" i="3"/>
  <c r="CI14" i="3"/>
  <c r="CH14" i="3"/>
  <c r="CC14" i="3"/>
  <c r="CB14" i="3"/>
  <c r="CO13" i="3"/>
  <c r="CN13" i="3"/>
  <c r="CI13" i="3"/>
  <c r="CH13" i="3"/>
  <c r="CC13" i="3"/>
  <c r="CB13" i="3"/>
  <c r="CO12" i="3"/>
  <c r="CN12" i="3"/>
  <c r="CI12" i="3"/>
  <c r="CH12" i="3"/>
  <c r="CC12" i="3"/>
  <c r="CB12" i="3"/>
  <c r="CO11" i="3"/>
  <c r="CN11" i="3"/>
  <c r="CI11" i="3"/>
  <c r="CH11" i="3"/>
  <c r="CC11" i="3"/>
  <c r="CB11" i="3"/>
  <c r="BT50" i="3"/>
  <c r="BT40" i="3"/>
  <c r="BW20" i="3"/>
  <c r="BV20" i="3"/>
  <c r="BW19" i="3"/>
  <c r="BV19" i="3"/>
  <c r="BW18" i="3"/>
  <c r="BV18" i="3"/>
  <c r="BW17" i="3"/>
  <c r="BV17" i="3"/>
  <c r="BW16" i="3"/>
  <c r="BV16" i="3"/>
  <c r="BW15" i="3"/>
  <c r="BV15" i="3"/>
  <c r="BW14" i="3"/>
  <c r="BV14" i="3"/>
  <c r="BW13" i="3"/>
  <c r="BV13" i="3"/>
  <c r="BW12" i="3"/>
  <c r="BV12" i="3"/>
  <c r="BW11" i="3"/>
  <c r="BV11" i="3"/>
  <c r="Y22" i="3" l="1"/>
  <c r="Y21" i="3"/>
  <c r="O16" i="3"/>
  <c r="L16" i="3"/>
  <c r="L26" i="3"/>
  <c r="O26" i="3"/>
  <c r="O17" i="3"/>
  <c r="L17" i="3"/>
  <c r="O29" i="3"/>
  <c r="L29" i="3"/>
  <c r="L14" i="3"/>
  <c r="O14" i="3"/>
  <c r="O24" i="3"/>
  <c r="L24" i="3"/>
  <c r="O11" i="3"/>
  <c r="L11" i="3"/>
  <c r="L20" i="3"/>
  <c r="O20" i="3"/>
  <c r="L25" i="3"/>
  <c r="O25" i="3"/>
  <c r="O18" i="3"/>
  <c r="L18" i="3"/>
  <c r="O30" i="3"/>
  <c r="L30" i="3"/>
  <c r="O27" i="3"/>
  <c r="L27" i="3"/>
  <c r="O19" i="3"/>
  <c r="L19" i="3"/>
  <c r="L12" i="3"/>
  <c r="O12" i="3"/>
  <c r="O28" i="3"/>
  <c r="L28" i="3"/>
  <c r="O21" i="3"/>
  <c r="L21" i="3"/>
  <c r="L13" i="3"/>
  <c r="O13" i="3"/>
  <c r="O23" i="3"/>
  <c r="L23" i="3"/>
  <c r="O22" i="3"/>
  <c r="L22" i="3"/>
  <c r="O15" i="3"/>
  <c r="L15" i="3"/>
  <c r="AD26" i="3"/>
  <c r="AF26" i="3" s="1"/>
  <c r="AE23" i="3"/>
  <c r="AE27" i="3"/>
  <c r="AD27" i="3"/>
  <c r="AF27" i="3" s="1"/>
  <c r="AE24" i="3"/>
  <c r="AD24" i="3"/>
  <c r="AF24" i="3" s="1"/>
  <c r="AD23" i="3"/>
  <c r="AF23" i="3" s="1"/>
  <c r="AD21" i="3"/>
  <c r="AF21" i="3" s="1"/>
  <c r="AE21" i="3"/>
  <c r="AE26" i="3"/>
  <c r="AD28" i="3"/>
  <c r="AF28" i="3" s="1"/>
  <c r="AE28" i="3"/>
  <c r="AD29" i="3"/>
  <c r="AF29" i="3" s="1"/>
  <c r="AE29" i="3"/>
  <c r="AD25" i="3"/>
  <c r="AF25" i="3" s="1"/>
  <c r="AE25" i="3"/>
  <c r="AD22" i="3"/>
  <c r="AF22" i="3" s="1"/>
  <c r="AD30" i="3"/>
  <c r="AF30" i="3" s="1"/>
  <c r="AE30" i="3"/>
  <c r="AE22" i="3"/>
  <c r="CF32" i="3"/>
  <c r="CF37" i="3" s="1"/>
  <c r="CF38" i="3" s="1"/>
  <c r="BT32" i="3"/>
  <c r="BT36" i="3" s="1"/>
  <c r="BZ32" i="3"/>
  <c r="BZ36" i="3" s="1"/>
  <c r="R27" i="3"/>
  <c r="R26" i="3"/>
  <c r="AR26" i="3"/>
  <c r="Y26" i="3" s="1"/>
  <c r="AL27" i="3"/>
  <c r="Y27" i="3" s="1"/>
  <c r="AS26" i="3"/>
  <c r="Q30" i="3"/>
  <c r="Q28" i="3"/>
  <c r="AM30" i="3"/>
  <c r="AM28" i="3"/>
  <c r="AM24" i="3"/>
  <c r="Y24" i="3" s="1"/>
  <c r="AS23" i="3"/>
  <c r="T23" i="3"/>
  <c r="U23" i="3" s="1"/>
  <c r="T30" i="3"/>
  <c r="U30" i="3" s="1"/>
  <c r="T28" i="3"/>
  <c r="U28" i="3" s="1"/>
  <c r="T24" i="3"/>
  <c r="U24" i="3" s="1"/>
  <c r="AS30" i="3"/>
  <c r="AS28" i="3"/>
  <c r="AM25" i="3"/>
  <c r="AM23" i="3"/>
  <c r="T22" i="3"/>
  <c r="U22" i="3" s="1"/>
  <c r="CL32" i="3"/>
  <c r="CL36" i="3" s="1"/>
  <c r="R30" i="3"/>
  <c r="AL29" i="3"/>
  <c r="Y29" i="3" s="1"/>
  <c r="AL25" i="3"/>
  <c r="R24" i="3"/>
  <c r="Y30" i="3" l="1"/>
  <c r="Y28" i="3"/>
  <c r="Y23" i="3"/>
  <c r="AC30" i="3"/>
  <c r="Y25" i="3"/>
  <c r="AC21" i="3"/>
  <c r="AC28" i="3"/>
  <c r="AC27" i="3"/>
  <c r="AC29" i="3"/>
  <c r="AC22" i="3"/>
  <c r="AC26" i="3"/>
  <c r="AC25" i="3"/>
  <c r="AC23" i="3"/>
  <c r="AC24" i="3"/>
  <c r="O32" i="3"/>
  <c r="Q21" i="3"/>
  <c r="Q26" i="3"/>
  <c r="Q25" i="3"/>
  <c r="Q23" i="3"/>
  <c r="Q29" i="3"/>
  <c r="BT37" i="3"/>
  <c r="BT38" i="3" s="1"/>
  <c r="Q24" i="3"/>
  <c r="BZ37" i="3"/>
  <c r="BZ38" i="3" s="1"/>
  <c r="CL37" i="3"/>
  <c r="CL38" i="3" s="1"/>
  <c r="CF36" i="3"/>
  <c r="Q22" i="3"/>
  <c r="BN50" i="3" l="1"/>
  <c r="BN40" i="3"/>
  <c r="BQ20" i="3"/>
  <c r="BP20" i="3"/>
  <c r="BQ19" i="3"/>
  <c r="BP19" i="3"/>
  <c r="BQ18" i="3"/>
  <c r="BQ17" i="3"/>
  <c r="BP17" i="3"/>
  <c r="BQ16" i="3"/>
  <c r="BP16" i="3"/>
  <c r="BQ15" i="3"/>
  <c r="BP15" i="3"/>
  <c r="BQ14" i="3"/>
  <c r="BP14" i="3"/>
  <c r="BQ13" i="3"/>
  <c r="BP13" i="3"/>
  <c r="BQ12" i="3"/>
  <c r="BP12" i="3"/>
  <c r="BQ11" i="3"/>
  <c r="BP11" i="3"/>
  <c r="BB50" i="3"/>
  <c r="BB40" i="3"/>
  <c r="BE20" i="3"/>
  <c r="BD20" i="3"/>
  <c r="BE19" i="3"/>
  <c r="BD19" i="3"/>
  <c r="BE18" i="3"/>
  <c r="BD18" i="3"/>
  <c r="BE17" i="3"/>
  <c r="BD17" i="3"/>
  <c r="BE16" i="3"/>
  <c r="BD16" i="3"/>
  <c r="BE15" i="3"/>
  <c r="BD15" i="3"/>
  <c r="BE14" i="3"/>
  <c r="BD14" i="3"/>
  <c r="BD13" i="3"/>
  <c r="BE12" i="3"/>
  <c r="BD12" i="3"/>
  <c r="BE11" i="3"/>
  <c r="BB32" i="3" l="1"/>
  <c r="BB36" i="3" s="1"/>
  <c r="BP18" i="3"/>
  <c r="BE13" i="3"/>
  <c r="BK20" i="3"/>
  <c r="BJ20" i="3"/>
  <c r="BK19" i="3"/>
  <c r="BJ19" i="3"/>
  <c r="BK18" i="3"/>
  <c r="BJ18" i="3"/>
  <c r="BK17" i="3"/>
  <c r="BJ17" i="3"/>
  <c r="BK16" i="3"/>
  <c r="BJ16" i="3"/>
  <c r="BK15" i="3"/>
  <c r="BJ15" i="3"/>
  <c r="BK14" i="3"/>
  <c r="BJ14" i="3"/>
  <c r="BK13" i="3"/>
  <c r="BJ13" i="3"/>
  <c r="BK12" i="3"/>
  <c r="BJ12" i="3"/>
  <c r="BK11" i="3"/>
  <c r="BJ11" i="3"/>
  <c r="BH32" i="3" l="1"/>
  <c r="BN32" i="3"/>
  <c r="BN37" i="3" s="1"/>
  <c r="BN38" i="3" s="1"/>
  <c r="BB37" i="3"/>
  <c r="BB38" i="3" s="1"/>
  <c r="BN36" i="3" l="1"/>
  <c r="BH50" i="3"/>
  <c r="BH40" i="3"/>
  <c r="AV50" i="3"/>
  <c r="AV40" i="3"/>
  <c r="AY20" i="3"/>
  <c r="AX20" i="3"/>
  <c r="AY19" i="3"/>
  <c r="AX19" i="3"/>
  <c r="AY18" i="3"/>
  <c r="AY17" i="3"/>
  <c r="AX17" i="3"/>
  <c r="AY16" i="3"/>
  <c r="AX16" i="3"/>
  <c r="AY15" i="3"/>
  <c r="AX15" i="3"/>
  <c r="AY14" i="3"/>
  <c r="AX14" i="3"/>
  <c r="AY13" i="3"/>
  <c r="AX13" i="3"/>
  <c r="AY12" i="3"/>
  <c r="AX12" i="3"/>
  <c r="AY11" i="3"/>
  <c r="AX11" i="3"/>
  <c r="AP50" i="3"/>
  <c r="AP40" i="3"/>
  <c r="AS20" i="3"/>
  <c r="AR19" i="3"/>
  <c r="AS18" i="3"/>
  <c r="AR17" i="3"/>
  <c r="AS16" i="3"/>
  <c r="AR16" i="3"/>
  <c r="AS15" i="3"/>
  <c r="AS14" i="3"/>
  <c r="AS13" i="3"/>
  <c r="AS12" i="3"/>
  <c r="AR11" i="3"/>
  <c r="AJ50" i="3"/>
  <c r="AJ40" i="3"/>
  <c r="AM20" i="3"/>
  <c r="AM19" i="3"/>
  <c r="AL19" i="3"/>
  <c r="AL18" i="3"/>
  <c r="AM17" i="3"/>
  <c r="AL17" i="3"/>
  <c r="AL16" i="3"/>
  <c r="AM15" i="3"/>
  <c r="AL15" i="3"/>
  <c r="AM14" i="3"/>
  <c r="AL13" i="3"/>
  <c r="AM12" i="3"/>
  <c r="AL12" i="3"/>
  <c r="AM11" i="3"/>
  <c r="AL11" i="3"/>
  <c r="L12" i="10" l="1"/>
  <c r="L13" i="10"/>
  <c r="L15" i="10"/>
  <c r="M10" i="10"/>
  <c r="M17" i="10"/>
  <c r="L11" i="10"/>
  <c r="L16" i="10"/>
  <c r="L19" i="10"/>
  <c r="M14" i="10"/>
  <c r="M11" i="10"/>
  <c r="L18" i="10"/>
  <c r="M12" i="10"/>
  <c r="M15" i="10"/>
  <c r="M16" i="10"/>
  <c r="L10" i="10"/>
  <c r="M13" i="10"/>
  <c r="L17" i="10"/>
  <c r="M18" i="10"/>
  <c r="M19" i="10"/>
  <c r="L14" i="10"/>
  <c r="AR12" i="3"/>
  <c r="Y12" i="3" s="1"/>
  <c r="AS11" i="3"/>
  <c r="Y11" i="3" s="1"/>
  <c r="AS17" i="3"/>
  <c r="Y17" i="3" s="1"/>
  <c r="AR14" i="3"/>
  <c r="AR15" i="3"/>
  <c r="Y15" i="3" s="1"/>
  <c r="AX18" i="3"/>
  <c r="AV32" i="3" s="1"/>
  <c r="AM13" i="3"/>
  <c r="AR13" i="3"/>
  <c r="Y13" i="3" s="1"/>
  <c r="AS19" i="3"/>
  <c r="Y19" i="3" s="1"/>
  <c r="BH37" i="3"/>
  <c r="BH38" i="3" s="1"/>
  <c r="AR18" i="3"/>
  <c r="AR20" i="3"/>
  <c r="AM16" i="3"/>
  <c r="Y16" i="3" s="1"/>
  <c r="AM18" i="3"/>
  <c r="Y18" i="3" s="1"/>
  <c r="AL14" i="3"/>
  <c r="AL20" i="3"/>
  <c r="Y14" i="3" l="1"/>
  <c r="Y20" i="3"/>
  <c r="AJ32" i="3"/>
  <c r="AJ36" i="3" s="1"/>
  <c r="AP32" i="3"/>
  <c r="AP36" i="3" s="1"/>
  <c r="AV37" i="3"/>
  <c r="AV38" i="3" s="1"/>
  <c r="AV36" i="3"/>
  <c r="BH36" i="3"/>
  <c r="AP37" i="3" l="1"/>
  <c r="AP38" i="3" s="1"/>
  <c r="AJ37" i="3"/>
  <c r="AJ38" i="3" s="1"/>
  <c r="T19" i="3" l="1"/>
  <c r="U19" i="3" s="1"/>
  <c r="R19" i="3"/>
  <c r="P19" i="3"/>
  <c r="AB19" i="3" s="1"/>
  <c r="T18" i="3"/>
  <c r="U18" i="3" s="1"/>
  <c r="R18" i="3"/>
  <c r="P18" i="3"/>
  <c r="AB18" i="3" s="1"/>
  <c r="T17" i="3"/>
  <c r="U17" i="3" s="1"/>
  <c r="R17" i="3"/>
  <c r="P17" i="3"/>
  <c r="AB17" i="3" s="1"/>
  <c r="T16" i="3"/>
  <c r="U16" i="3" s="1"/>
  <c r="R16" i="3"/>
  <c r="P16" i="3"/>
  <c r="AB16" i="3" s="1"/>
  <c r="T15" i="3"/>
  <c r="U15" i="3" s="1"/>
  <c r="R15" i="3"/>
  <c r="P15" i="3"/>
  <c r="AB15" i="3" s="1"/>
  <c r="T14" i="3"/>
  <c r="U14" i="3" s="1"/>
  <c r="R14" i="3"/>
  <c r="P14" i="3"/>
  <c r="AB14" i="3" s="1"/>
  <c r="T13" i="3"/>
  <c r="U13" i="3" s="1"/>
  <c r="R13" i="3"/>
  <c r="P13" i="3"/>
  <c r="AB13" i="3" s="1"/>
  <c r="T12" i="3"/>
  <c r="U12" i="3" s="1"/>
  <c r="R12" i="3"/>
  <c r="P12" i="3"/>
  <c r="AB12" i="3" s="1"/>
  <c r="AE12" i="3" l="1"/>
  <c r="AE17" i="3"/>
  <c r="AC17" i="3" s="1"/>
  <c r="AD17" i="3"/>
  <c r="AF17" i="3" s="1"/>
  <c r="AE13" i="3"/>
  <c r="AC13" i="3" s="1"/>
  <c r="AD13" i="3"/>
  <c r="AF13" i="3" s="1"/>
  <c r="AE19" i="3"/>
  <c r="AC19" i="3" s="1"/>
  <c r="AD19" i="3"/>
  <c r="AF19" i="3" s="1"/>
  <c r="AE16" i="3"/>
  <c r="AC16" i="3" s="1"/>
  <c r="AD16" i="3"/>
  <c r="AF16" i="3" s="1"/>
  <c r="AD12" i="3"/>
  <c r="AF12" i="3" s="1"/>
  <c r="AD18" i="3"/>
  <c r="AF18" i="3" s="1"/>
  <c r="AE18" i="3"/>
  <c r="AC18" i="3" s="1"/>
  <c r="AE14" i="3"/>
  <c r="AC14" i="3" s="1"/>
  <c r="AD14" i="3"/>
  <c r="AF14" i="3" s="1"/>
  <c r="AE15" i="3"/>
  <c r="AC15" i="3" s="1"/>
  <c r="AD15" i="3"/>
  <c r="AF15" i="3" s="1"/>
  <c r="Q19" i="3"/>
  <c r="Q18" i="3"/>
  <c r="AC12" i="3" l="1"/>
  <c r="Q16" i="3"/>
  <c r="Q12" i="3"/>
  <c r="Q17" i="3"/>
  <c r="Q13" i="3"/>
  <c r="Q14" i="3"/>
  <c r="Q15" i="3"/>
  <c r="B32" i="3" l="1"/>
  <c r="D32" i="3" l="1"/>
  <c r="I32" i="3" l="1"/>
  <c r="R11" i="3"/>
  <c r="T11" i="3"/>
  <c r="U11" i="3" s="1"/>
  <c r="P20" i="3"/>
  <c r="AB20" i="3" s="1"/>
  <c r="R20" i="3"/>
  <c r="T20" i="3"/>
  <c r="U20" i="3" s="1"/>
  <c r="AE11" i="3" l="1"/>
  <c r="AD11" i="3"/>
  <c r="AF11" i="3" s="1"/>
  <c r="C55" i="3"/>
  <c r="C54" i="3"/>
  <c r="C53" i="3"/>
  <c r="C52" i="3"/>
  <c r="AE20" i="3"/>
  <c r="AC20" i="3" s="1"/>
  <c r="AD20" i="3"/>
  <c r="AF20" i="3" s="1"/>
  <c r="D55" i="3"/>
  <c r="AI11" i="3"/>
  <c r="AH11" i="3"/>
  <c r="AC11" i="3" l="1"/>
  <c r="F41" i="3"/>
  <c r="H42" i="3"/>
  <c r="C43" i="3"/>
  <c r="J43" i="3" s="1"/>
  <c r="H44" i="3"/>
  <c r="F45" i="3"/>
  <c r="D46" i="3"/>
  <c r="C46" i="3"/>
  <c r="J46" i="3" s="1"/>
  <c r="F39" i="3"/>
  <c r="F40" i="3"/>
  <c r="H41" i="3"/>
  <c r="C42" i="3"/>
  <c r="J42" i="3" s="1"/>
  <c r="F38" i="3"/>
  <c r="D45" i="3"/>
  <c r="H39" i="3"/>
  <c r="H40" i="3"/>
  <c r="F42" i="3"/>
  <c r="H43" i="3"/>
  <c r="F43" i="3"/>
  <c r="D37" i="3"/>
  <c r="C44" i="3"/>
  <c r="J44" i="3" s="1"/>
  <c r="H38" i="3"/>
  <c r="F46" i="3"/>
  <c r="C40" i="3"/>
  <c r="J40" i="3" s="1"/>
  <c r="D41" i="3"/>
  <c r="D44" i="3"/>
  <c r="H45" i="3"/>
  <c r="H46" i="3"/>
  <c r="C39" i="3"/>
  <c r="J39" i="3" s="1"/>
  <c r="D43" i="3"/>
  <c r="H37" i="3"/>
  <c r="F37" i="3"/>
  <c r="C38" i="3"/>
  <c r="J38" i="3" s="1"/>
  <c r="D39" i="3"/>
  <c r="D40" i="3"/>
  <c r="C41" i="3"/>
  <c r="J41" i="3" s="1"/>
  <c r="D42" i="3"/>
  <c r="C37" i="3"/>
  <c r="F44" i="3"/>
  <c r="D38" i="3"/>
  <c r="C45" i="3"/>
  <c r="J45" i="3" s="1"/>
  <c r="Q20" i="3"/>
  <c r="Q11" i="3"/>
  <c r="AH32" i="3"/>
  <c r="I52" i="3" l="1"/>
  <c r="J37" i="3"/>
  <c r="C61" i="3"/>
  <c r="E23" i="10" s="1"/>
  <c r="I15" i="10"/>
  <c r="I14" i="10"/>
  <c r="I19" i="10"/>
  <c r="I13" i="10"/>
  <c r="I11" i="10"/>
  <c r="I18" i="10"/>
  <c r="I12" i="10"/>
  <c r="I16" i="10"/>
  <c r="I10" i="10"/>
  <c r="I17" i="10"/>
  <c r="D19" i="10"/>
  <c r="D18" i="10"/>
  <c r="G17" i="10"/>
  <c r="G16" i="10"/>
  <c r="D16" i="10"/>
  <c r="D17" i="10"/>
  <c r="G18" i="10"/>
  <c r="G19" i="10"/>
  <c r="D14" i="10"/>
  <c r="D15" i="10"/>
  <c r="G15" i="10"/>
  <c r="I54" i="3" l="1"/>
  <c r="I53" i="3"/>
  <c r="J53" i="3"/>
  <c r="J54" i="3"/>
  <c r="J52" i="3"/>
  <c r="I43" i="3"/>
  <c r="J16" i="10" s="1"/>
  <c r="E16" i="10"/>
  <c r="I45" i="3"/>
  <c r="J18" i="10" s="1"/>
  <c r="E18" i="10"/>
  <c r="I42" i="3"/>
  <c r="J15" i="10" s="1"/>
  <c r="E15" i="10"/>
  <c r="I41" i="3"/>
  <c r="J14" i="10" s="1"/>
  <c r="E14" i="10"/>
  <c r="I46" i="3"/>
  <c r="J19" i="10" s="1"/>
  <c r="E19" i="10"/>
  <c r="I44" i="3"/>
  <c r="J17" i="10" s="1"/>
  <c r="E17" i="10"/>
  <c r="K15" i="10"/>
  <c r="K16" i="10"/>
  <c r="K18" i="10"/>
  <c r="K14" i="10"/>
  <c r="K17" i="10"/>
  <c r="K19" i="10"/>
  <c r="G14" i="10"/>
  <c r="E43" i="3"/>
  <c r="F16" i="10" s="1"/>
  <c r="E44" i="3"/>
  <c r="F17" i="10" s="1"/>
  <c r="E45" i="3"/>
  <c r="F18" i="10" s="1"/>
  <c r="E46" i="3"/>
  <c r="F19" i="10" s="1"/>
  <c r="E42" i="3"/>
  <c r="F15" i="10" s="1"/>
  <c r="AC32" i="3"/>
  <c r="I55" i="3" l="1"/>
  <c r="K52" i="3" s="1"/>
  <c r="J55" i="3"/>
  <c r="L52" i="3" s="1"/>
  <c r="J57" i="3"/>
  <c r="I57" i="3"/>
  <c r="AB87" i="3"/>
  <c r="AB88" i="3" s="1"/>
  <c r="I87" i="3"/>
  <c r="G91" i="3" s="1"/>
  <c r="L87" i="3"/>
  <c r="L88" i="3" s="1"/>
  <c r="G93" i="3"/>
  <c r="AB85" i="3"/>
  <c r="L85" i="3"/>
  <c r="E41" i="3"/>
  <c r="F14" i="10" s="1"/>
  <c r="A32" i="3"/>
  <c r="BD87" i="3" l="1"/>
  <c r="BD88" i="3" s="1"/>
  <c r="BD85" i="3"/>
  <c r="K54" i="3"/>
  <c r="L53" i="3"/>
  <c r="K53" i="3"/>
  <c r="L54" i="3"/>
  <c r="K57" i="3"/>
  <c r="L57" i="3"/>
  <c r="I88" i="3"/>
  <c r="H91" i="3"/>
  <c r="I85" i="3" s="1"/>
  <c r="C36" i="3"/>
  <c r="D9" i="10" s="1"/>
  <c r="G12" i="10" l="1"/>
  <c r="G13" i="10"/>
  <c r="D13" i="10"/>
  <c r="I40" i="3" l="1"/>
  <c r="J13" i="10" s="1"/>
  <c r="E13" i="10"/>
  <c r="K13" i="10"/>
  <c r="AI32" i="3"/>
  <c r="D54" i="3" l="1"/>
  <c r="AA32" i="3"/>
  <c r="AA33" i="3" s="1"/>
  <c r="D52" i="3"/>
  <c r="D53" i="3"/>
  <c r="D56" i="3" l="1"/>
  <c r="G11" i="10"/>
  <c r="F52" i="3" l="1"/>
  <c r="F55" i="3"/>
  <c r="F53" i="3"/>
  <c r="F54" i="3"/>
  <c r="C56" i="3"/>
  <c r="AE32" i="3"/>
  <c r="AE33" i="3" s="1"/>
  <c r="G10" i="10"/>
  <c r="D12" i="10"/>
  <c r="D11" i="10"/>
  <c r="D10" i="10"/>
  <c r="L55" i="3" l="1"/>
  <c r="F56" i="3"/>
  <c r="I37" i="3"/>
  <c r="J10" i="10" s="1"/>
  <c r="E10" i="10"/>
  <c r="I39" i="3"/>
  <c r="J12" i="10" s="1"/>
  <c r="E12" i="10"/>
  <c r="I38" i="3"/>
  <c r="J11" i="10" s="1"/>
  <c r="E11" i="10"/>
  <c r="K10" i="10"/>
  <c r="K11" i="10"/>
  <c r="K12" i="10"/>
  <c r="E55" i="3"/>
  <c r="E52" i="3"/>
  <c r="E53" i="3"/>
  <c r="E54" i="3"/>
  <c r="F47" i="3"/>
  <c r="C47" i="3"/>
  <c r="I56" i="3" s="1"/>
  <c r="H47" i="3"/>
  <c r="I20" i="10" s="1"/>
  <c r="D47" i="3"/>
  <c r="J56" i="3" s="1"/>
  <c r="E38" i="3"/>
  <c r="F11" i="10" s="1"/>
  <c r="E40" i="3"/>
  <c r="F13" i="10" s="1"/>
  <c r="E37" i="3"/>
  <c r="F10" i="10" s="1"/>
  <c r="E39" i="3"/>
  <c r="F12" i="10" s="1"/>
  <c r="G20" i="10" l="1"/>
  <c r="E47" i="3"/>
  <c r="F20" i="10" s="1"/>
  <c r="C57" i="3"/>
  <c r="E20" i="10"/>
  <c r="D57" i="3"/>
  <c r="C48" i="3"/>
  <c r="K55" i="3"/>
  <c r="G38" i="3"/>
  <c r="H11" i="10" s="1"/>
  <c r="D20" i="10"/>
  <c r="I47" i="3"/>
  <c r="J20" i="10" s="1"/>
  <c r="G39" i="3"/>
  <c r="H12" i="10" s="1"/>
  <c r="G42" i="3"/>
  <c r="H15" i="10" s="1"/>
  <c r="G41" i="3"/>
  <c r="H14" i="10" s="1"/>
  <c r="G43" i="3"/>
  <c r="H16" i="10" s="1"/>
  <c r="G44" i="3"/>
  <c r="H17" i="10" s="1"/>
  <c r="G45" i="3"/>
  <c r="H18" i="10" s="1"/>
  <c r="G46" i="3"/>
  <c r="H19" i="10" s="1"/>
  <c r="G40" i="3"/>
  <c r="H13" i="10" s="1"/>
  <c r="E56" i="3"/>
  <c r="G37" i="3"/>
  <c r="H10" i="10" s="1"/>
  <c r="F48" i="3"/>
  <c r="D48" i="3"/>
  <c r="E48" i="3"/>
  <c r="K20" i="10" l="1"/>
  <c r="BF90" i="3"/>
  <c r="AX90" i="3"/>
  <c r="BH90" i="3"/>
  <c r="BD90" i="3"/>
  <c r="BL90" i="3"/>
  <c r="BJ90" i="3"/>
  <c r="BB90" i="3"/>
  <c r="AZ90" i="3"/>
  <c r="G47" i="3"/>
  <c r="H20" i="10" s="1"/>
  <c r="AX85" i="3" l="1"/>
  <c r="AX87" i="3"/>
  <c r="AX88" i="3" s="1"/>
  <c r="AZ96" i="3"/>
  <c r="AZ94" i="3"/>
  <c r="AX96" i="3"/>
  <c r="AX94" i="3"/>
  <c r="BB96" i="3"/>
  <c r="BB94" i="3"/>
  <c r="BD96" i="3"/>
  <c r="BD94" i="3"/>
  <c r="BH96" i="3"/>
  <c r="BH94" i="3"/>
  <c r="BF94" i="3"/>
  <c r="BF96" i="3"/>
  <c r="BA87" i="3" l="1"/>
  <c r="BA88" i="3" s="1"/>
  <c r="BA85" i="3"/>
</calcChain>
</file>

<file path=xl/comments1.xml><?xml version="1.0" encoding="utf-8"?>
<comments xmlns="http://schemas.openxmlformats.org/spreadsheetml/2006/main">
  <authors>
    <author>Ram Marc Ona</author>
    <author>Mary Ann Arao</author>
    <author>Jeric Conway Miranda</author>
  </authors>
  <commentList>
    <comment ref="I4" authorId="0" shapeId="0">
      <text>
        <r>
          <rPr>
            <b/>
            <sz val="9"/>
            <color indexed="81"/>
            <rFont val="Tahoma"/>
            <family val="2"/>
          </rPr>
          <t>Ram Marc Ona:</t>
        </r>
        <r>
          <rPr>
            <sz val="9"/>
            <color indexed="81"/>
            <rFont val="Tahoma"/>
            <family val="2"/>
          </rPr>
          <t xml:space="preserve">
Select Dvision
Select multi-bu for more than one</t>
        </r>
      </text>
    </comment>
    <comment ref="I5" authorId="0" shapeId="0">
      <text>
        <r>
          <rPr>
            <b/>
            <sz val="9"/>
            <color indexed="81"/>
            <rFont val="Tahoma"/>
            <family val="2"/>
          </rPr>
          <t>Ram Marc Ona:</t>
        </r>
        <r>
          <rPr>
            <sz val="9"/>
            <color indexed="81"/>
            <rFont val="Tahoma"/>
            <family val="2"/>
          </rPr>
          <t xml:space="preserve">
Select Cost Center
Select multi-bu for more than one</t>
        </r>
      </text>
    </comment>
    <comment ref="AJ8" authorId="0" shapeId="0">
      <text>
        <r>
          <rPr>
            <b/>
            <sz val="9"/>
            <color indexed="81"/>
            <rFont val="Tahoma"/>
            <family val="2"/>
          </rPr>
          <t>Ram Marc Ona:</t>
        </r>
        <r>
          <rPr>
            <sz val="9"/>
            <color indexed="81"/>
            <rFont val="Tahoma"/>
            <family val="2"/>
          </rPr>
          <t xml:space="preserve">
Indicate type of vendor below number (distributor, trader, etc)</t>
        </r>
      </text>
    </comment>
    <comment ref="B9" authorId="1" shapeId="0">
      <text>
        <r>
          <rPr>
            <b/>
            <sz val="9"/>
            <color indexed="81"/>
            <rFont val="Tahoma"/>
            <family val="2"/>
          </rPr>
          <t>Mary Ann Arao:</t>
        </r>
        <r>
          <rPr>
            <sz val="9"/>
            <color indexed="81"/>
            <rFont val="Tahoma"/>
            <family val="2"/>
          </rPr>
          <t xml:space="preserve">
Please indicate 'NEW ITEM' for requirements with no Item Code.
DO NOT leave this blank.</t>
        </r>
      </text>
    </comment>
    <comment ref="J10" authorId="2" shapeId="0">
      <text>
        <r>
          <rPr>
            <b/>
            <sz val="9"/>
            <color indexed="81"/>
            <rFont val="Tahoma"/>
            <family val="2"/>
          </rPr>
          <t>Jeric Conway Miranda:</t>
        </r>
        <r>
          <rPr>
            <sz val="9"/>
            <color indexed="81"/>
            <rFont val="Tahoma"/>
            <family val="2"/>
          </rPr>
          <t xml:space="preserve">
20% Sampling of SKUs from the highest extend cost per bid tab.</t>
        </r>
      </text>
    </comment>
    <comment ref="AO10" authorId="0" shapeId="0">
      <text>
        <r>
          <rPr>
            <b/>
            <sz val="9"/>
            <color indexed="81"/>
            <rFont val="Tahoma"/>
            <family val="2"/>
          </rPr>
          <t>Ram Marc Ona:</t>
        </r>
        <r>
          <rPr>
            <sz val="9"/>
            <color indexed="81"/>
            <rFont val="Tahoma"/>
            <family val="2"/>
          </rPr>
          <t xml:space="preserve">
Use only </t>
        </r>
        <r>
          <rPr>
            <b/>
            <sz val="9"/>
            <color indexed="81"/>
            <rFont val="Tahoma"/>
            <family val="2"/>
          </rPr>
          <t>"RECOMMENDED"</t>
        </r>
        <r>
          <rPr>
            <sz val="9"/>
            <color indexed="81"/>
            <rFont val="Tahoma"/>
            <family val="2"/>
          </rPr>
          <t xml:space="preserve"> if not awarding to the lowest compliant vendor</t>
        </r>
      </text>
    </comment>
    <comment ref="J36" authorId="0" shapeId="0">
      <text>
        <r>
          <rPr>
            <b/>
            <sz val="9"/>
            <color indexed="81"/>
            <rFont val="Tahoma"/>
            <family val="2"/>
          </rPr>
          <t>Ram Marc Ona:</t>
        </r>
        <r>
          <rPr>
            <sz val="9"/>
            <color indexed="81"/>
            <rFont val="Tahoma"/>
            <family val="2"/>
          </rPr>
          <t xml:space="preserve">
Indicate if VAT Inc or VAT Ex</t>
        </r>
      </text>
    </comment>
    <comment ref="M36" authorId="0" shapeId="0">
      <text>
        <r>
          <rPr>
            <b/>
            <sz val="9"/>
            <color indexed="81"/>
            <rFont val="Tahoma"/>
            <family val="2"/>
          </rPr>
          <t>Ram Marc Ona:</t>
        </r>
        <r>
          <rPr>
            <sz val="9"/>
            <color indexed="81"/>
            <rFont val="Tahoma"/>
            <family val="2"/>
          </rPr>
          <t xml:space="preserve">
Ram Marc Ona:
Indicate if </t>
        </r>
        <r>
          <rPr>
            <b/>
            <sz val="9"/>
            <color indexed="81"/>
            <rFont val="Tahoma"/>
            <family val="2"/>
          </rPr>
          <t>BPO, PO, etc</t>
        </r>
      </text>
    </comment>
  </commentList>
</comments>
</file>

<file path=xl/comments2.xml><?xml version="1.0" encoding="utf-8"?>
<comments xmlns="http://schemas.openxmlformats.org/spreadsheetml/2006/main">
  <authors>
    <author>Ram Marc Ona</author>
  </authors>
  <commentList>
    <comment ref="A17" authorId="0" shapeId="0">
      <text>
        <r>
          <rPr>
            <b/>
            <sz val="9"/>
            <color indexed="81"/>
            <rFont val="Tahoma"/>
            <family val="2"/>
          </rPr>
          <t>Ram Marc Ona:</t>
        </r>
        <r>
          <rPr>
            <sz val="9"/>
            <color indexed="81"/>
            <rFont val="Tahoma"/>
            <family val="2"/>
          </rPr>
          <t xml:space="preserve">
Reference for initial lowest compliant for overwritten bids</t>
        </r>
      </text>
    </comment>
  </commentList>
</comments>
</file>

<file path=xl/sharedStrings.xml><?xml version="1.0" encoding="utf-8"?>
<sst xmlns="http://schemas.openxmlformats.org/spreadsheetml/2006/main" count="6248" uniqueCount="1008">
  <si>
    <t>BID TABULATION TEMPLATE - DETAILED</t>
  </si>
  <si>
    <t>AWARD METHOD</t>
  </si>
  <si>
    <t>Document Code</t>
  </si>
  <si>
    <t xml:space="preserve">SCD-PSP-PRT-FO-004 </t>
  </si>
  <si>
    <t xml:space="preserve">BID CATEGORY: </t>
  </si>
  <si>
    <t>Revision Number</t>
  </si>
  <si>
    <t>Effective Date</t>
  </si>
  <si>
    <t xml:space="preserve">COST CENTER / NAME: </t>
  </si>
  <si>
    <t>PRICE COMPARISON</t>
  </si>
  <si>
    <t>BIDDERS</t>
  </si>
  <si>
    <t>#</t>
  </si>
  <si>
    <t>REDROCK ITEM CODE &lt;Input "NEW" for New Items&gt;</t>
  </si>
  <si>
    <t>ITEM NAME AND DESCRIPTION</t>
  </si>
  <si>
    <t>ESTIMATED QTY</t>
  </si>
  <si>
    <t>UOM</t>
  </si>
  <si>
    <t>BASELINE- CURRENT</t>
  </si>
  <si>
    <t>BID ANALYSIS</t>
  </si>
  <si>
    <t>MARKET PRICING</t>
  </si>
  <si>
    <t>PROCUREMENT SAVINGS</t>
  </si>
  <si>
    <t>PRICE DIFF VS CURRENT SPEND</t>
  </si>
  <si>
    <t>VENDOR 1</t>
  </si>
  <si>
    <t>VENDOR 2</t>
  </si>
  <si>
    <t>VENDOR 3</t>
  </si>
  <si>
    <t>VENDOR 4</t>
  </si>
  <si>
    <t>VENDOR 5</t>
  </si>
  <si>
    <t>VENDOR 8</t>
  </si>
  <si>
    <t>VENDOR 9</t>
  </si>
  <si>
    <t>VENDOR 10</t>
  </si>
  <si>
    <t>+/- 10-15% Variance</t>
  </si>
  <si>
    <t>LAST SYSTEM PRICE</t>
  </si>
  <si>
    <t>EXTENDED COST</t>
  </si>
  <si>
    <t>INITIAL LOWEST COMPLIANT BID</t>
  </si>
  <si>
    <t>VENDOR CHECK - CURRENT</t>
  </si>
  <si>
    <t># OF BIDDERS</t>
  </si>
  <si>
    <t>AWARDED TO LOWEST</t>
  </si>
  <si>
    <t>AWARDED TO LOWEST COMPLIANT</t>
  </si>
  <si>
    <t>LOWEST COMPLIANT VENDOR</t>
  </si>
  <si>
    <t>LOWEST COMPLIANT BID</t>
  </si>
  <si>
    <t>REFERENCE</t>
  </si>
  <si>
    <t>DIFF % SRP</t>
  </si>
  <si>
    <t>UNIT COST</t>
  </si>
  <si>
    <t>UNIT COST SAVINGS REFERENCE</t>
  </si>
  <si>
    <t>GROSS AMOUNT</t>
  </si>
  <si>
    <t>TOTAL SAVINGS</t>
  </si>
  <si>
    <t>PRICE BENCHMARK</t>
  </si>
  <si>
    <t>UNIT PRICE DIFF CURRENT</t>
  </si>
  <si>
    <t>EXTENDED PRICE DIFF CURRENT</t>
  </si>
  <si>
    <t>PRICE DIFF % CURRENT</t>
  </si>
  <si>
    <t>Initial 
Bid</t>
  </si>
  <si>
    <t>Negotiated Bid</t>
  </si>
  <si>
    <t>Extended Cost</t>
  </si>
  <si>
    <t>Compliant</t>
  </si>
  <si>
    <t>GRAND TOTAL 
(EXCLUSIVE OF VAT)</t>
  </si>
  <si>
    <t>CONVERSION RATE:</t>
  </si>
  <si>
    <t>LOGISTICS COST (as applicable):</t>
  </si>
  <si>
    <t>AWARD SUMMARY</t>
  </si>
  <si>
    <t>No. of SKUs</t>
  </si>
  <si>
    <t>% Savings</t>
  </si>
  <si>
    <t>Procurement Savings</t>
  </si>
  <si>
    <t>% Award Share by Amount</t>
  </si>
  <si>
    <t>ACQUISITION COST (Exclusive of VAT):</t>
  </si>
  <si>
    <t>BUSINESS SUPPORT / OTHER SAVINGS:</t>
  </si>
  <si>
    <t>DESCRIPTION</t>
  </si>
  <si>
    <t>VALUE</t>
  </si>
  <si>
    <t>GRAND TOTAL</t>
  </si>
  <si>
    <t>BUSINESS / SERVICES SUPPORT</t>
  </si>
  <si>
    <t>MARKETING / PRODUCT SUPPORT</t>
  </si>
  <si>
    <t>BUSINESS RECIPROCAL</t>
  </si>
  <si>
    <t>TOTAL OTHER SAVINGS</t>
  </si>
  <si>
    <t>TERMS AND CONDITIONS:</t>
  </si>
  <si>
    <t>BID EFFECTIVITY DATE:</t>
  </si>
  <si>
    <t>BID TURNOUT SUMMARY</t>
  </si>
  <si>
    <t>% Amount</t>
  </si>
  <si>
    <t>% SKU</t>
  </si>
  <si>
    <t>BID EXPIRY DATE:</t>
  </si>
  <si>
    <t>DELIVERY LEAD TIME:</t>
  </si>
  <si>
    <t>PAYMENT TERMS</t>
  </si>
  <si>
    <t>WARRANTY</t>
  </si>
  <si>
    <t>VAT:</t>
  </si>
  <si>
    <t>VAT Inclusive</t>
  </si>
  <si>
    <t>OTHER VENDOR NOTES:</t>
  </si>
  <si>
    <t>Recommendation:</t>
  </si>
  <si>
    <t>Purpose of the Purchase:</t>
  </si>
  <si>
    <t>Remarks:</t>
  </si>
  <si>
    <t>Reviewed By:</t>
  </si>
  <si>
    <t>Project Lead</t>
  </si>
  <si>
    <t>INITIAL LOWEST BID</t>
  </si>
  <si>
    <t>COMPLIANT</t>
  </si>
  <si>
    <t>ACCEPTED</t>
  </si>
  <si>
    <t>NOT ACCEPTED</t>
  </si>
  <si>
    <t>VAT TERMS:</t>
  </si>
  <si>
    <t>VAT Exclusive</t>
  </si>
  <si>
    <t>AVE. BID</t>
  </si>
  <si>
    <t>AVE. BID % VS SYSTEM PRICE</t>
  </si>
  <si>
    <t>VAT Exempt</t>
  </si>
  <si>
    <t>LAST SYSTEM UPLOAD DATE</t>
  </si>
  <si>
    <r>
      <rPr>
        <b/>
        <sz val="12"/>
        <rFont val="Arial"/>
        <family val="2"/>
      </rPr>
      <t>TOTAL PAYABLE TO SUPPLIER</t>
    </r>
    <r>
      <rPr>
        <sz val="12"/>
        <rFont val="Arial"/>
        <family val="2"/>
      </rPr>
      <t xml:space="preserve"> (Inclusive of VAT, as applicable)</t>
    </r>
  </si>
  <si>
    <t>PROCUREMENT METHOD</t>
  </si>
  <si>
    <t>RECOMMENDED AWARD</t>
  </si>
  <si>
    <t>Item Count</t>
  </si>
  <si>
    <t>Prepared by:</t>
  </si>
  <si>
    <t>EXECUTION</t>
  </si>
  <si>
    <t>Remarks</t>
  </si>
  <si>
    <t xml:space="preserve">SRF REFERENCE #: </t>
  </si>
  <si>
    <t xml:space="preserve">RINGI REFERENCE #: </t>
  </si>
  <si>
    <t>VENDOR 6</t>
  </si>
  <si>
    <t>SRP</t>
  </si>
  <si>
    <t>UNIT SAVINGS</t>
  </si>
  <si>
    <t>% Variance from System Price</t>
  </si>
  <si>
    <t>VENDOR 7</t>
  </si>
  <si>
    <t>BID VALIDITY</t>
  </si>
  <si>
    <t>4 or more</t>
  </si>
  <si>
    <t>% Award Share by Volume</t>
  </si>
  <si>
    <t>LEAD TIME</t>
  </si>
  <si>
    <t>VENDORS</t>
  </si>
  <si>
    <t>Finance Administration</t>
  </si>
  <si>
    <t>General Accounting</t>
  </si>
  <si>
    <t>Financial Planning &amp; Analysis</t>
  </si>
  <si>
    <t>Casino Finance</t>
  </si>
  <si>
    <t>Hospitality Finance</t>
  </si>
  <si>
    <t>Project Accounting</t>
  </si>
  <si>
    <t>Payroll</t>
  </si>
  <si>
    <t>Treasury</t>
  </si>
  <si>
    <t>Risk Management</t>
  </si>
  <si>
    <t>Creatives and Production</t>
  </si>
  <si>
    <t>Administration</t>
  </si>
  <si>
    <t>COST CENTER</t>
  </si>
  <si>
    <t>Tax Management</t>
  </si>
  <si>
    <t>Financial Research and Studies</t>
  </si>
  <si>
    <t>Financial Compliance</t>
  </si>
  <si>
    <t>General Ledger</t>
  </si>
  <si>
    <t>Accounts Payable</t>
  </si>
  <si>
    <t>Casino Accounting</t>
  </si>
  <si>
    <t>Gaming Audit</t>
  </si>
  <si>
    <t>Accounts Receivable</t>
  </si>
  <si>
    <t>Non-Gaming Audit</t>
  </si>
  <si>
    <t>Point of Sale (POS)</t>
  </si>
  <si>
    <t>Cost Control Management</t>
  </si>
  <si>
    <t>Hospitality Accounting</t>
  </si>
  <si>
    <t>Fixed Assets</t>
  </si>
  <si>
    <t>DEPARTMENT</t>
  </si>
  <si>
    <t>Surveillance Operations</t>
  </si>
  <si>
    <t>Surveillance Services</t>
  </si>
  <si>
    <t>Surveillance Special Projects</t>
  </si>
  <si>
    <t>Surveillance Administration</t>
  </si>
  <si>
    <t>Chief Security Office</t>
  </si>
  <si>
    <t>Security Infra, R&amp;D</t>
  </si>
  <si>
    <t>Physical Security</t>
  </si>
  <si>
    <t>Internal &amp; External Security</t>
  </si>
  <si>
    <t>Security Technology Services</t>
  </si>
  <si>
    <t>Optimization</t>
  </si>
  <si>
    <t>Analytics</t>
  </si>
  <si>
    <t>Business Insight and Research</t>
  </si>
  <si>
    <t>Creative Entertainment</t>
  </si>
  <si>
    <t>Compliance</t>
  </si>
  <si>
    <t>Legal</t>
  </si>
  <si>
    <t>Technical Assurance</t>
  </si>
  <si>
    <t>Interim FFE/OSM Management</t>
  </si>
  <si>
    <t>Construction Admin</t>
  </si>
  <si>
    <t>Supply Chain Business Support</t>
  </si>
  <si>
    <t>Procurement &amp; Strategic Planning</t>
  </si>
  <si>
    <t>Distribution</t>
  </si>
  <si>
    <t>100 - FOOD INVENTORY</t>
  </si>
  <si>
    <t>FOOD INVENTORY</t>
  </si>
  <si>
    <t>1100 - TOBACCO</t>
  </si>
  <si>
    <t>TOBACCO</t>
  </si>
  <si>
    <t>150 - GLACIER FOOD INVENTORY</t>
  </si>
  <si>
    <t>GLACIER FOOD INVENTORY</t>
  </si>
  <si>
    <t>200 - BEVERAGE INVENTORY (ALCOHOLIC)</t>
  </si>
  <si>
    <t>BEVERAGE INVENTORY (ALCOHOLIC)</t>
  </si>
  <si>
    <t>201 - BEVERAGE INVENTORY (NON-ALCOHOLIC)</t>
  </si>
  <si>
    <t>BEVERAGE INVENTORY (NON-ALCOHOLIC)</t>
  </si>
  <si>
    <t>250 - GLACIER BEVERAGE INVENTORY</t>
  </si>
  <si>
    <t>GLACIER BEVERAGE INVENTORY</t>
  </si>
  <si>
    <t>300 - WINE</t>
  </si>
  <si>
    <t>WINE</t>
  </si>
  <si>
    <t>350 - GLACIER WINE INVENTORY</t>
  </si>
  <si>
    <t>GLACIER WINE INVENTORY</t>
  </si>
  <si>
    <t>400 - CHILLER</t>
  </si>
  <si>
    <t>CHILLER</t>
  </si>
  <si>
    <t>450 - GLACIER CHILLER INVENTORY</t>
  </si>
  <si>
    <t>GLACIER CHILLER INVENTORY</t>
  </si>
  <si>
    <t>500 - FREEZER</t>
  </si>
  <si>
    <t>FREEZER</t>
  </si>
  <si>
    <t>550 - GLACIER FROZEN INVENTORY</t>
  </si>
  <si>
    <t>GLACIER FROZEN INVENTORY</t>
  </si>
  <si>
    <t>600 - GENERAL SUPPLIES</t>
  </si>
  <si>
    <t>GENERAL SUPPLIES</t>
  </si>
  <si>
    <t>650 - FCIE DASMARINAS GENERAL SUPPLIES</t>
  </si>
  <si>
    <t>FCIE DASMARINAS GENERAL SUPPLIES</t>
  </si>
  <si>
    <t>900 - CHEMICAL INVENTORY</t>
  </si>
  <si>
    <t>CHEMICAL INVENTORY</t>
  </si>
  <si>
    <t>950 - MEDICAL AND EMERGENCY PPE’s INVENTORY</t>
  </si>
  <si>
    <t>MEDICAL AND EMERGENCY PPE’s INVENTORY</t>
  </si>
  <si>
    <t>R700 - GIFT SHOP INVENTORY</t>
  </si>
  <si>
    <t>GIFT SHOP INVENTORY</t>
  </si>
  <si>
    <t>Rewards and Employee Services</t>
  </si>
  <si>
    <t>Talent Selection and Management</t>
  </si>
  <si>
    <t>HR Administration</t>
  </si>
  <si>
    <t>Employee Relations</t>
  </si>
  <si>
    <t>Workforce Planning</t>
  </si>
  <si>
    <t>Hotel Administration</t>
  </si>
  <si>
    <t>Rooms</t>
  </si>
  <si>
    <t>Front Office</t>
  </si>
  <si>
    <t>Executive Lounge</t>
  </si>
  <si>
    <t>Guest Services</t>
  </si>
  <si>
    <t>Concierge/Bell Services</t>
  </si>
  <si>
    <t>Rooms-Housekeeping</t>
  </si>
  <si>
    <t>Private Bar</t>
  </si>
  <si>
    <t>Hospitality Shared Services</t>
  </si>
  <si>
    <t xml:space="preserve">Call Center / Reservations </t>
  </si>
  <si>
    <t>Transportation - Land</t>
  </si>
  <si>
    <t>Hospitality Training</t>
  </si>
  <si>
    <t>Airport Lounge</t>
  </si>
  <si>
    <t>Housekeeping Public Area</t>
  </si>
  <si>
    <t>In-house Laundry</t>
  </si>
  <si>
    <t>Offsite Laundry</t>
  </si>
  <si>
    <t>Wardrobe &amp; Uniforms</t>
  </si>
  <si>
    <t>Floral Design &amp; Decorations</t>
  </si>
  <si>
    <t>Spas, Recreation &amp; Kids Club</t>
  </si>
  <si>
    <t>The Retreat Spa</t>
  </si>
  <si>
    <t>Sole Retreat</t>
  </si>
  <si>
    <t>Kids Club</t>
  </si>
  <si>
    <t>Recreation</t>
  </si>
  <si>
    <t>Nail Art Studio</t>
  </si>
  <si>
    <t>Thrillscape</t>
  </si>
  <si>
    <t>Beach Club</t>
  </si>
  <si>
    <t>Sales &amp; Marketing</t>
  </si>
  <si>
    <t>Room Sales</t>
  </si>
  <si>
    <t>Administration &amp; Finance</t>
  </si>
  <si>
    <t>Infrastructure Operations</t>
  </si>
  <si>
    <t>Project Management Office</t>
  </si>
  <si>
    <t>Security &amp; Compliance</t>
  </si>
  <si>
    <t>Support Services</t>
  </si>
  <si>
    <t>ELV Technology</t>
  </si>
  <si>
    <t>ELV Infra &amp; Projects</t>
  </si>
  <si>
    <t>ELV Operations</t>
  </si>
  <si>
    <t>ELV Construction</t>
  </si>
  <si>
    <t>AVL Technology</t>
  </si>
  <si>
    <t>AVL Operations</t>
  </si>
  <si>
    <t>AVL Maintenance</t>
  </si>
  <si>
    <t>AVL Animation</t>
  </si>
  <si>
    <t>F&amp;B Service</t>
  </si>
  <si>
    <t>Medley</t>
  </si>
  <si>
    <t>Lobby Lounge and Pastry Shop</t>
  </si>
  <si>
    <t>Private Dining Room</t>
  </si>
  <si>
    <t>Pool Bar</t>
  </si>
  <si>
    <t>La Piazza</t>
  </si>
  <si>
    <t>Enbu</t>
  </si>
  <si>
    <t>Goryeo</t>
  </si>
  <si>
    <t>Red Spice</t>
  </si>
  <si>
    <t>Kiapo</t>
  </si>
  <si>
    <t>Sportsbook Bar</t>
  </si>
  <si>
    <t>Okada Lounge</t>
  </si>
  <si>
    <t>Sinag</t>
  </si>
  <si>
    <t>Luna Lounge</t>
  </si>
  <si>
    <t>Perlas Dining</t>
  </si>
  <si>
    <t>Roasting by Red Spice</t>
  </si>
  <si>
    <t>Banquets</t>
  </si>
  <si>
    <t>F&amp;B Kitchen</t>
  </si>
  <si>
    <t xml:space="preserve">Kitchen-Medley </t>
  </si>
  <si>
    <t xml:space="preserve">Kitchen-Lobby Lounge and Pastry Shop </t>
  </si>
  <si>
    <t>Kitchen-Private Dining</t>
  </si>
  <si>
    <t xml:space="preserve">Kitchen-La Piazza </t>
  </si>
  <si>
    <t xml:space="preserve">Kitchen-Enbu </t>
  </si>
  <si>
    <t>Kitchen-Harbour</t>
  </si>
  <si>
    <t xml:space="preserve">Kitchen-Goryeo </t>
  </si>
  <si>
    <t xml:space="preserve">Kitchen-Red Spice </t>
  </si>
  <si>
    <t xml:space="preserve">Kitchen-Kiapo </t>
  </si>
  <si>
    <t xml:space="preserve">Kitchen-Sportsbook Bar </t>
  </si>
  <si>
    <t>Kitchen-Okada Lounge</t>
  </si>
  <si>
    <t>Kitchen-Sinag</t>
  </si>
  <si>
    <t>Kitchen-Luna Lounge</t>
  </si>
  <si>
    <t>Kitchen-Perlas Dining</t>
  </si>
  <si>
    <t>Kitchen-Roasting by Red Spice</t>
  </si>
  <si>
    <t>Kitchen-Pool Bar</t>
  </si>
  <si>
    <t>Butchery</t>
  </si>
  <si>
    <t>Garde Manger</t>
  </si>
  <si>
    <t>Banquet Kitchen</t>
  </si>
  <si>
    <t>Dimsum Kitchen</t>
  </si>
  <si>
    <t>Barbeque Kitchen</t>
  </si>
  <si>
    <t>Pastry &amp; Bakery</t>
  </si>
  <si>
    <t>F&amp;B Administration</t>
  </si>
  <si>
    <t>Beverage Production</t>
  </si>
  <si>
    <t>Hygiene</t>
  </si>
  <si>
    <t>Stewarding</t>
  </si>
  <si>
    <t>Casino Service</t>
  </si>
  <si>
    <t>Corporate Sales &amp; Marketing (B2B)</t>
  </si>
  <si>
    <t>Event Sales &amp; Marketing (B2C)</t>
  </si>
  <si>
    <t>F&amp;B Sales &amp; Marketing</t>
  </si>
  <si>
    <t>Employee Dining Room</t>
  </si>
  <si>
    <t>Kitchen</t>
  </si>
  <si>
    <t>Service</t>
  </si>
  <si>
    <t>Steward</t>
  </si>
  <si>
    <t>Service-Kappou Imamura</t>
  </si>
  <si>
    <t>Service-Ginza Nagaoka</t>
  </si>
  <si>
    <t>Service-Yu Lei</t>
  </si>
  <si>
    <t>Kitchen-Kappou Imamura</t>
  </si>
  <si>
    <t>Kitchen-Ginza Nagaoka</t>
  </si>
  <si>
    <t>Kitchen-Yu Lei</t>
  </si>
  <si>
    <t>Cage</t>
  </si>
  <si>
    <t>Count</t>
  </si>
  <si>
    <t>Credit &amp; Collection</t>
  </si>
  <si>
    <t>Business Solutions</t>
  </si>
  <si>
    <t>Administration and Training</t>
  </si>
  <si>
    <t>Premium Marketing and VIP Services</t>
  </si>
  <si>
    <t>Business Development</t>
  </si>
  <si>
    <t>Customer Relation Management</t>
  </si>
  <si>
    <t>Loyalty Marketing</t>
  </si>
  <si>
    <t>Promotion and Events</t>
  </si>
  <si>
    <t>Destination Marketing</t>
  </si>
  <si>
    <t>Table Games Operations</t>
  </si>
  <si>
    <t>Poker Stars-Cash Game</t>
  </si>
  <si>
    <t>Sports Book</t>
  </si>
  <si>
    <t>Poker Stars-Tournament</t>
  </si>
  <si>
    <t>Training &amp; Development</t>
  </si>
  <si>
    <t>Card Room</t>
  </si>
  <si>
    <t>Electronic Gaming Operations</t>
  </si>
  <si>
    <t>Gaming Technical Services</t>
  </si>
  <si>
    <t>Gaming OS&amp;E Control</t>
  </si>
  <si>
    <t>Leasing/Retail</t>
  </si>
  <si>
    <t>Anime World Backlot Tour</t>
  </si>
  <si>
    <t>Art Aquarium</t>
  </si>
  <si>
    <t>Centralization Service</t>
  </si>
  <si>
    <t>Project Management</t>
  </si>
  <si>
    <t>Administration &amp; Project Management</t>
  </si>
  <si>
    <t>MEPF</t>
  </si>
  <si>
    <t>Gaming &amp; Podium</t>
  </si>
  <si>
    <t>Hotel &amp; Public Area</t>
  </si>
  <si>
    <t>Internal Audit</t>
  </si>
  <si>
    <t>AML Compliance</t>
  </si>
  <si>
    <t>Corporate Management &amp; Administration</t>
  </si>
  <si>
    <t>Internal Control</t>
  </si>
  <si>
    <t>Strategic Planning</t>
  </si>
  <si>
    <t>TOTAL LOWEST COMPLIANT / RECOMMENDED BID</t>
  </si>
  <si>
    <t>INCOTERMS</t>
  </si>
  <si>
    <t>BONDS &amp; INSURANCES</t>
  </si>
  <si>
    <t>Casino Regulatory Compliance</t>
  </si>
  <si>
    <t>DEPARTMENT CODE</t>
  </si>
  <si>
    <t>COST CENTER CODE</t>
  </si>
  <si>
    <t>SH110101</t>
  </si>
  <si>
    <t>SH110102</t>
  </si>
  <si>
    <t>SH110103</t>
  </si>
  <si>
    <t>SH110104</t>
  </si>
  <si>
    <t>SH110201</t>
  </si>
  <si>
    <t>SH110202</t>
  </si>
  <si>
    <t>SH110301</t>
  </si>
  <si>
    <t>SH110501</t>
  </si>
  <si>
    <t>SH110502</t>
  </si>
  <si>
    <t>SH110601</t>
  </si>
  <si>
    <t>SH110602</t>
  </si>
  <si>
    <t>SH110603</t>
  </si>
  <si>
    <t>SH110604</t>
  </si>
  <si>
    <t>SH110605</t>
  </si>
  <si>
    <t>SH110902</t>
  </si>
  <si>
    <t>SH111201</t>
  </si>
  <si>
    <t>SH112201</t>
  </si>
  <si>
    <t>SH112301</t>
  </si>
  <si>
    <t>SH910201</t>
  </si>
  <si>
    <t>SH910401</t>
  </si>
  <si>
    <t>SH910501</t>
  </si>
  <si>
    <t>SH910601</t>
  </si>
  <si>
    <t>GM910101</t>
  </si>
  <si>
    <t>GM910201</t>
  </si>
  <si>
    <t>GM910301</t>
  </si>
  <si>
    <t>GM910401</t>
  </si>
  <si>
    <t>SH510401</t>
  </si>
  <si>
    <t>SH510501</t>
  </si>
  <si>
    <t>SH510601</t>
  </si>
  <si>
    <t>SH510602</t>
  </si>
  <si>
    <t>SH510701</t>
  </si>
  <si>
    <t>GM710101</t>
  </si>
  <si>
    <t>GM710201</t>
  </si>
  <si>
    <t>GM710301</t>
  </si>
  <si>
    <t>GM710401</t>
  </si>
  <si>
    <t>SH310101</t>
  </si>
  <si>
    <t>SH310201</t>
  </si>
  <si>
    <t>CT110101</t>
  </si>
  <si>
    <t>CT110201</t>
  </si>
  <si>
    <t>CT110301</t>
  </si>
  <si>
    <t>SH113101</t>
  </si>
  <si>
    <t>SH113301</t>
  </si>
  <si>
    <t>SH113401</t>
  </si>
  <si>
    <t>R700</t>
  </si>
  <si>
    <t>SH210301</t>
  </si>
  <si>
    <t>SH210401</t>
  </si>
  <si>
    <t>SH210501</t>
  </si>
  <si>
    <t>SH210701</t>
  </si>
  <si>
    <t>SH210801</t>
  </si>
  <si>
    <t>HS110101</t>
  </si>
  <si>
    <t>HS110201</t>
  </si>
  <si>
    <t>HS110202</t>
  </si>
  <si>
    <t>HS110204</t>
  </si>
  <si>
    <t>HS110205</t>
  </si>
  <si>
    <t>HS110206</t>
  </si>
  <si>
    <t>HS110207</t>
  </si>
  <si>
    <t>HS110301</t>
  </si>
  <si>
    <t>HS110302</t>
  </si>
  <si>
    <t>HS110306</t>
  </si>
  <si>
    <t>HS110307</t>
  </si>
  <si>
    <t>HS110308</t>
  </si>
  <si>
    <t>HS110309</t>
  </si>
  <si>
    <t>HS110310</t>
  </si>
  <si>
    <t>HS110311</t>
  </si>
  <si>
    <t>HS110312</t>
  </si>
  <si>
    <t>HS110501</t>
  </si>
  <si>
    <t>HS110506</t>
  </si>
  <si>
    <t>HS110507</t>
  </si>
  <si>
    <t>HS110508</t>
  </si>
  <si>
    <t>HS110509</t>
  </si>
  <si>
    <t>HS110510</t>
  </si>
  <si>
    <t>HS110511</t>
  </si>
  <si>
    <t>HS110601</t>
  </si>
  <si>
    <t>SH410101</t>
  </si>
  <si>
    <t>SH410102</t>
  </si>
  <si>
    <t>SH410103</t>
  </si>
  <si>
    <t>SH410201</t>
  </si>
  <si>
    <t>SH410202</t>
  </si>
  <si>
    <t>SH410301</t>
  </si>
  <si>
    <t>SH410302</t>
  </si>
  <si>
    <t>SH410303</t>
  </si>
  <si>
    <t>SH410401</t>
  </si>
  <si>
    <t>SH410501</t>
  </si>
  <si>
    <t>SH410502</t>
  </si>
  <si>
    <t>SH410503</t>
  </si>
  <si>
    <t>SH410601</t>
  </si>
  <si>
    <t>SH410602</t>
  </si>
  <si>
    <t>SH410701</t>
  </si>
  <si>
    <t>SH410702</t>
  </si>
  <si>
    <t>SH410703</t>
  </si>
  <si>
    <t>HS210101</t>
  </si>
  <si>
    <t>HS210102</t>
  </si>
  <si>
    <t>HS210103</t>
  </si>
  <si>
    <t>HS210106</t>
  </si>
  <si>
    <t>HS210111</t>
  </si>
  <si>
    <t>HS210112</t>
  </si>
  <si>
    <t>HS210115</t>
  </si>
  <si>
    <t>HS210117</t>
  </si>
  <si>
    <t>HS210118</t>
  </si>
  <si>
    <t>HS210119</t>
  </si>
  <si>
    <t>HS210122</t>
  </si>
  <si>
    <t>HS210125</t>
  </si>
  <si>
    <t>HS210126</t>
  </si>
  <si>
    <t>HS210129</t>
  </si>
  <si>
    <t>HS210130</t>
  </si>
  <si>
    <t>HS210181</t>
  </si>
  <si>
    <t>HS210201</t>
  </si>
  <si>
    <t>HS210202</t>
  </si>
  <si>
    <t>HS210203</t>
  </si>
  <si>
    <t>HS210210</t>
  </si>
  <si>
    <t>HS210211</t>
  </si>
  <si>
    <t>HS210212</t>
  </si>
  <si>
    <t>HS210214</t>
  </si>
  <si>
    <t>HS210215</t>
  </si>
  <si>
    <t>HS210216</t>
  </si>
  <si>
    <t>HS210217</t>
  </si>
  <si>
    <t>HS210218</t>
  </si>
  <si>
    <t>HS210222</t>
  </si>
  <si>
    <t>HS210223</t>
  </si>
  <si>
    <t>HS210226</t>
  </si>
  <si>
    <t>HS210227</t>
  </si>
  <si>
    <t>HS210228</t>
  </si>
  <si>
    <t>HS210282</t>
  </si>
  <si>
    <t>HS210283</t>
  </si>
  <si>
    <t>HS210284</t>
  </si>
  <si>
    <t>HS210286</t>
  </si>
  <si>
    <t>HS210287</t>
  </si>
  <si>
    <t>HS210288</t>
  </si>
  <si>
    <t>HS210301</t>
  </si>
  <si>
    <t>HS210303</t>
  </si>
  <si>
    <t>HS210304</t>
  </si>
  <si>
    <t>HS210305</t>
  </si>
  <si>
    <t>HS210310</t>
  </si>
  <si>
    <t>HS210311</t>
  </si>
  <si>
    <t>HS210312</t>
  </si>
  <si>
    <t>HS210313</t>
  </si>
  <si>
    <t>HS210401</t>
  </si>
  <si>
    <t>HS810101</t>
  </si>
  <si>
    <t>HS810201</t>
  </si>
  <si>
    <t>HS810301</t>
  </si>
  <si>
    <t>HS810302</t>
  </si>
  <si>
    <t>HS810303</t>
  </si>
  <si>
    <t>HS810401</t>
  </si>
  <si>
    <t>HS810402</t>
  </si>
  <si>
    <t>HS810403</t>
  </si>
  <si>
    <t>GM410101</t>
  </si>
  <si>
    <t>GM410201</t>
  </si>
  <si>
    <t>GM410301</t>
  </si>
  <si>
    <t>GM810101</t>
  </si>
  <si>
    <t>GM810201</t>
  </si>
  <si>
    <t>GM810301</t>
  </si>
  <si>
    <t>GM510101</t>
  </si>
  <si>
    <t>GM510201</t>
  </si>
  <si>
    <t>GM510301</t>
  </si>
  <si>
    <t>GM510401</t>
  </si>
  <si>
    <t>GM510501</t>
  </si>
  <si>
    <t>GM510601</t>
  </si>
  <si>
    <t>GM110101</t>
  </si>
  <si>
    <t>GM110102</t>
  </si>
  <si>
    <t>GM110103</t>
  </si>
  <si>
    <t>GM110104</t>
  </si>
  <si>
    <t>GM110201</t>
  </si>
  <si>
    <t>GM110401</t>
  </si>
  <si>
    <t>GM210101</t>
  </si>
  <si>
    <t>GM210201</t>
  </si>
  <si>
    <t>GM210301</t>
  </si>
  <si>
    <t>GM610101</t>
  </si>
  <si>
    <t>HS310101</t>
  </si>
  <si>
    <t>HS310104</t>
  </si>
  <si>
    <t>HS310105</t>
  </si>
  <si>
    <t>SH810101</t>
  </si>
  <si>
    <t>SH810201</t>
  </si>
  <si>
    <t>SH810301</t>
  </si>
  <si>
    <t>SH810401</t>
  </si>
  <si>
    <t>SH810501</t>
  </si>
  <si>
    <t>IA110101</t>
  </si>
  <si>
    <t>AM110101</t>
  </si>
  <si>
    <t>AM110201</t>
  </si>
  <si>
    <t>CP110101</t>
  </si>
  <si>
    <t>CP110401</t>
  </si>
  <si>
    <t>CP110501</t>
  </si>
  <si>
    <t>SH110101_</t>
  </si>
  <si>
    <t>SH110200_</t>
  </si>
  <si>
    <t>SH110300_</t>
  </si>
  <si>
    <t>SH110500_</t>
  </si>
  <si>
    <t>SH110600_</t>
  </si>
  <si>
    <t>SH110900_</t>
  </si>
  <si>
    <t>SH111200_</t>
  </si>
  <si>
    <t>SH112200_</t>
  </si>
  <si>
    <t>SH112300_</t>
  </si>
  <si>
    <t>SH910200_</t>
  </si>
  <si>
    <t>SH910400_</t>
  </si>
  <si>
    <t>SH910500_</t>
  </si>
  <si>
    <t>SH910600_</t>
  </si>
  <si>
    <t>GM910100_</t>
  </si>
  <si>
    <t>GM910200_</t>
  </si>
  <si>
    <t>GM910300_</t>
  </si>
  <si>
    <t>GM910400_</t>
  </si>
  <si>
    <t>SH510400_</t>
  </si>
  <si>
    <t>SH510500_</t>
  </si>
  <si>
    <t>SH510600_</t>
  </si>
  <si>
    <t>SH510700_</t>
  </si>
  <si>
    <t>GM710100_</t>
  </si>
  <si>
    <t>GM710200_</t>
  </si>
  <si>
    <t>GM710300_</t>
  </si>
  <si>
    <t>GM710400_</t>
  </si>
  <si>
    <t>SH310100_</t>
  </si>
  <si>
    <t>SH310200_</t>
  </si>
  <si>
    <t>CT110100_</t>
  </si>
  <si>
    <t>CT110200_</t>
  </si>
  <si>
    <t>CT110300_</t>
  </si>
  <si>
    <t>SH113100_</t>
  </si>
  <si>
    <t>SH113300_</t>
  </si>
  <si>
    <t>SH113400_</t>
  </si>
  <si>
    <t>100_</t>
  </si>
  <si>
    <t>1100_</t>
  </si>
  <si>
    <t>150_</t>
  </si>
  <si>
    <t>200_</t>
  </si>
  <si>
    <t>201_</t>
  </si>
  <si>
    <t>250_</t>
  </si>
  <si>
    <t>300_</t>
  </si>
  <si>
    <t>350_</t>
  </si>
  <si>
    <t>400_</t>
  </si>
  <si>
    <t>450_</t>
  </si>
  <si>
    <t>500_</t>
  </si>
  <si>
    <t>550_</t>
  </si>
  <si>
    <t>600_</t>
  </si>
  <si>
    <t>650_</t>
  </si>
  <si>
    <t>900_</t>
  </si>
  <si>
    <t>950_</t>
  </si>
  <si>
    <t>R700_</t>
  </si>
  <si>
    <t>SH210300_</t>
  </si>
  <si>
    <t>SH210400_</t>
  </si>
  <si>
    <t>SH210500_</t>
  </si>
  <si>
    <t>SH210700_</t>
  </si>
  <si>
    <t>SH210800_</t>
  </si>
  <si>
    <t>HS110100_</t>
  </si>
  <si>
    <t>HS110200_</t>
  </si>
  <si>
    <t>HS110300_</t>
  </si>
  <si>
    <t>HS110500_</t>
  </si>
  <si>
    <t>HS110600_</t>
  </si>
  <si>
    <t>SH410100_</t>
  </si>
  <si>
    <t>SH410200_</t>
  </si>
  <si>
    <t>SH410300_</t>
  </si>
  <si>
    <t>SH410400_</t>
  </si>
  <si>
    <t>SH410500_</t>
  </si>
  <si>
    <t>SH410600_</t>
  </si>
  <si>
    <t>SH410700_</t>
  </si>
  <si>
    <t>HS210100_</t>
  </si>
  <si>
    <t>HS210200_</t>
  </si>
  <si>
    <t>HS210300_</t>
  </si>
  <si>
    <t>HS210400_</t>
  </si>
  <si>
    <t>HS810100_</t>
  </si>
  <si>
    <t>HS810200_</t>
  </si>
  <si>
    <t>HS810300_</t>
  </si>
  <si>
    <t>HS810400_</t>
  </si>
  <si>
    <t>GM410100_</t>
  </si>
  <si>
    <t>GM410200_</t>
  </si>
  <si>
    <t>GM410300_</t>
  </si>
  <si>
    <t>GM810100_</t>
  </si>
  <si>
    <t>GM810200_</t>
  </si>
  <si>
    <t>GM810300_</t>
  </si>
  <si>
    <t>GM510100_</t>
  </si>
  <si>
    <t>GM510200_</t>
  </si>
  <si>
    <t>GM510300_</t>
  </si>
  <si>
    <t>GM510400_</t>
  </si>
  <si>
    <t>GM510500_</t>
  </si>
  <si>
    <t>GM510600_</t>
  </si>
  <si>
    <t>GM110100_</t>
  </si>
  <si>
    <t>GM110200_</t>
  </si>
  <si>
    <t>GM110400_</t>
  </si>
  <si>
    <t>GM210100_</t>
  </si>
  <si>
    <t>GM210200_</t>
  </si>
  <si>
    <t>GM210300_</t>
  </si>
  <si>
    <t>GM610100_</t>
  </si>
  <si>
    <t>HS310100_</t>
  </si>
  <si>
    <t>SH810100_</t>
  </si>
  <si>
    <t>SH810200_</t>
  </si>
  <si>
    <t>SH810300_</t>
  </si>
  <si>
    <t>SH810400_</t>
  </si>
  <si>
    <t>SH810500_</t>
  </si>
  <si>
    <t>IA110100_</t>
  </si>
  <si>
    <t>AM110100_</t>
  </si>
  <si>
    <t>CP110100_</t>
  </si>
  <si>
    <t>CP110400_</t>
  </si>
  <si>
    <t>CP110500_</t>
  </si>
  <si>
    <t>DIVISION CODE</t>
  </si>
  <si>
    <t>DIVISION</t>
  </si>
  <si>
    <t>Accounting</t>
  </si>
  <si>
    <t>Corporate Finance</t>
  </si>
  <si>
    <t>Corporate Marketing &amp; Communications</t>
  </si>
  <si>
    <t>Surveillance</t>
  </si>
  <si>
    <t>Security &amp; Safety</t>
  </si>
  <si>
    <t>Strategic Marketing</t>
  </si>
  <si>
    <t>Legal &amp; Compliance</t>
  </si>
  <si>
    <t>Construction &amp; Design</t>
  </si>
  <si>
    <t>Supply Chain</t>
  </si>
  <si>
    <t>Human Resources</t>
  </si>
  <si>
    <t>Hotel</t>
  </si>
  <si>
    <t>Food and Beverage</t>
  </si>
  <si>
    <t>Premium Dining</t>
  </si>
  <si>
    <t>Cage, Count and Credit</t>
  </si>
  <si>
    <t>Premium Marketing</t>
  </si>
  <si>
    <t>Electronic Gaming</t>
  </si>
  <si>
    <t>Retail</t>
  </si>
  <si>
    <t>Facility Management</t>
  </si>
  <si>
    <t>Corporate Planning</t>
  </si>
  <si>
    <t>SH110000_</t>
  </si>
  <si>
    <t>SH112000_</t>
  </si>
  <si>
    <t>SH910000_</t>
  </si>
  <si>
    <t>GM910000_</t>
  </si>
  <si>
    <t>SH510000_</t>
  </si>
  <si>
    <t>GM710000_</t>
  </si>
  <si>
    <t>SH310000_</t>
  </si>
  <si>
    <t>CT110000_</t>
  </si>
  <si>
    <t>SH113000_</t>
  </si>
  <si>
    <t>SH210000_</t>
  </si>
  <si>
    <t>HS110000_</t>
  </si>
  <si>
    <t>SH410000_</t>
  </si>
  <si>
    <t>HS210000_</t>
  </si>
  <si>
    <t>HS810000_</t>
  </si>
  <si>
    <t>GM410000_</t>
  </si>
  <si>
    <t>GM810000_</t>
  </si>
  <si>
    <t>GM510000_</t>
  </si>
  <si>
    <t>GM110000_</t>
  </si>
  <si>
    <t>GM210000_</t>
  </si>
  <si>
    <t>GM610000_</t>
  </si>
  <si>
    <t>HS310000_</t>
  </si>
  <si>
    <t>SH810000_</t>
  </si>
  <si>
    <t>IA110000_</t>
  </si>
  <si>
    <t>AM110000_</t>
  </si>
  <si>
    <t>CP110000_</t>
  </si>
  <si>
    <t>SH110100_</t>
  </si>
  <si>
    <t>MULTI___BU</t>
  </si>
  <si>
    <t>_01_</t>
  </si>
  <si>
    <t>% Award Share by SKU</t>
  </si>
  <si>
    <t>APPROVER1</t>
  </si>
  <si>
    <t>APPROVER2</t>
  </si>
  <si>
    <t>Abegail Fulla</t>
  </si>
  <si>
    <t>Naoshi Nema</t>
  </si>
  <si>
    <t>Hans van der Sande</t>
  </si>
  <si>
    <t>NOTED BY</t>
  </si>
  <si>
    <t>Victor Galzote</t>
  </si>
  <si>
    <t>Marinisa Forschler</t>
  </si>
  <si>
    <t>Regel Ymalay</t>
  </si>
  <si>
    <t>Reddy Leong</t>
  </si>
  <si>
    <t>Robert Doe</t>
  </si>
  <si>
    <t>Mike Waite</t>
  </si>
  <si>
    <t>Chris Hamill</t>
  </si>
  <si>
    <t>Valentin Popescu</t>
  </si>
  <si>
    <t>Gen. Debold Sinas</t>
  </si>
  <si>
    <t>Wendy Ni</t>
  </si>
  <si>
    <t>Joemer Perez</t>
  </si>
  <si>
    <t>Mitsukazu Nakata</t>
  </si>
  <si>
    <t>Ricardo Aguas Jr.</t>
  </si>
  <si>
    <t>&gt;=150000</t>
  </si>
  <si>
    <t>&gt;=1000001</t>
  </si>
  <si>
    <t>Jowel Benoza</t>
  </si>
  <si>
    <t>Alvaro Ramos</t>
  </si>
  <si>
    <t>Nino Emmanuel Telan</t>
  </si>
  <si>
    <t>Jerome Sarte</t>
  </si>
  <si>
    <t>Maria Kristalyn Osillo</t>
  </si>
  <si>
    <t>Fenalyn Reyes</t>
  </si>
  <si>
    <t>Maria Roa Tansiking</t>
  </si>
  <si>
    <t>Zahid Ahmed</t>
  </si>
  <si>
    <t>Alda Madrid</t>
  </si>
  <si>
    <t>Eunice Villaluz</t>
  </si>
  <si>
    <t>Marie Verzosa</t>
  </si>
  <si>
    <t>Bethoven Nalo</t>
  </si>
  <si>
    <t>Robert Scott</t>
  </si>
  <si>
    <t>Jeremy Cristobal</t>
  </si>
  <si>
    <t>Victoria Cecilia Aquino</t>
  </si>
  <si>
    <t>Andreas Balla</t>
  </si>
  <si>
    <t>Cielo Roberedo</t>
  </si>
  <si>
    <t>Alexandrea Herrera</t>
  </si>
  <si>
    <t>Sonny Jarlos</t>
  </si>
  <si>
    <t>Reynald Ngo</t>
  </si>
  <si>
    <t>Allan Lescano</t>
  </si>
  <si>
    <t>Edward John Sta. Maria</t>
  </si>
  <si>
    <t>Chong Yao Tan</t>
  </si>
  <si>
    <t>&gt;=100001</t>
  </si>
  <si>
    <t>Sumit Rajput</t>
  </si>
  <si>
    <t>Wilfredo Co</t>
  </si>
  <si>
    <t>Josef Teuschler</t>
  </si>
  <si>
    <t>Sharon Yabut</t>
  </si>
  <si>
    <t>Cielo Reboredo</t>
  </si>
  <si>
    <t>Faustino Mercado</t>
  </si>
  <si>
    <t>Miaki Narita</t>
  </si>
  <si>
    <t>Jane Tan</t>
  </si>
  <si>
    <t>Henry Tan</t>
  </si>
  <si>
    <t>Sherman Lim</t>
  </si>
  <si>
    <t>&gt;=500001</t>
  </si>
  <si>
    <t>Nynn Tan</t>
  </si>
  <si>
    <t>Maria Theresa Romeo</t>
  </si>
  <si>
    <t>Sue Gooi</t>
  </si>
  <si>
    <t>Manida Lau</t>
  </si>
  <si>
    <t>&gt;=10000001</t>
  </si>
  <si>
    <t>Louie Urrutia</t>
  </si>
  <si>
    <t>Anthony Veloso</t>
  </si>
  <si>
    <t>Giancarlo  Baldonido</t>
  </si>
  <si>
    <t>Gizelle Leong</t>
  </si>
  <si>
    <t>Joe Sam</t>
  </si>
  <si>
    <t>Imelda Ordona</t>
  </si>
  <si>
    <t>Alan Jacalne</t>
  </si>
  <si>
    <t>Jenilyn Merza</t>
  </si>
  <si>
    <t>Francisco Varca</t>
  </si>
  <si>
    <t>Diana Wu</t>
  </si>
  <si>
    <t>Rick Colman</t>
  </si>
  <si>
    <t>Alan Teoh</t>
  </si>
  <si>
    <t>&gt;=20000001</t>
  </si>
  <si>
    <t>Jerry Chan</t>
  </si>
  <si>
    <t>Ashley Chen</t>
  </si>
  <si>
    <t>Sam Chea</t>
  </si>
  <si>
    <t>&gt;=15000001</t>
  </si>
  <si>
    <t>Yuichiro Okazaki</t>
  </si>
  <si>
    <t>Jayvee Villanueva</t>
  </si>
  <si>
    <t>REVIEWED BY</t>
  </si>
  <si>
    <t>ENDORSED BY</t>
  </si>
  <si>
    <t>Shin Zamora</t>
  </si>
  <si>
    <t>Ian Mariano</t>
  </si>
  <si>
    <t>Federico Manalo</t>
  </si>
  <si>
    <t>Anthony Santos</t>
  </si>
  <si>
    <t>John Escueta</t>
  </si>
  <si>
    <t>Goddfrey Sebur</t>
  </si>
  <si>
    <t>Nona Mendoza</t>
  </si>
  <si>
    <t>Han Tee Yap</t>
  </si>
  <si>
    <t>Kentaro Amamoto</t>
  </si>
  <si>
    <t xml:space="preserve">REQUESTING DIVISION: </t>
  </si>
  <si>
    <t>Endorsed By</t>
  </si>
  <si>
    <t>Approved By</t>
  </si>
  <si>
    <t>Reviewed By</t>
  </si>
  <si>
    <t/>
  </si>
  <si>
    <t>&gt;=250000</t>
  </si>
  <si>
    <t>&gt;=5000001</t>
  </si>
  <si>
    <t>[PD] Administration</t>
  </si>
  <si>
    <t>[SES] Administration</t>
  </si>
  <si>
    <t>BPO</t>
  </si>
  <si>
    <t>PO</t>
  </si>
  <si>
    <t>CONTRACT</t>
  </si>
  <si>
    <t>APPROVERS</t>
  </si>
  <si>
    <t>Assistant Vice President - Accounting</t>
  </si>
  <si>
    <t>POSITION</t>
  </si>
  <si>
    <t>Director - Table Games</t>
  </si>
  <si>
    <t>Director of Housekeeping - Rooms</t>
  </si>
  <si>
    <t>Director of Sales &amp; Marketing</t>
  </si>
  <si>
    <t>Director - Program Management Office</t>
  </si>
  <si>
    <t>Assistant Vice President - Retail</t>
  </si>
  <si>
    <t>Vice President - Food &amp; Beverage</t>
  </si>
  <si>
    <t>Manager - SQEW</t>
  </si>
  <si>
    <t>Assistant Director - Customer Relation Management</t>
  </si>
  <si>
    <t>Director - International Marketing</t>
  </si>
  <si>
    <t>Director - Housekeeping - Public Area</t>
  </si>
  <si>
    <t>Associate Director - Support Services</t>
  </si>
  <si>
    <t>Director of Surveillance Services</t>
  </si>
  <si>
    <t>Vice President - Sales &amp; Marketing</t>
  </si>
  <si>
    <t>Director - Gaming OS&amp;E Control</t>
  </si>
  <si>
    <t>Associate Director - Security &amp; Compliance</t>
  </si>
  <si>
    <t>Assistant Director - Transportation</t>
  </si>
  <si>
    <t>Assistant Director of Events</t>
  </si>
  <si>
    <t>Senior Manager - Project Management</t>
  </si>
  <si>
    <t>Director - Human Resources</t>
  </si>
  <si>
    <t>Vice President - Table Games</t>
  </si>
  <si>
    <t>Chief Security Officer</t>
  </si>
  <si>
    <t>Assistant Director - Destination Marketing</t>
  </si>
  <si>
    <t>Assistant Vice President - Premium Marketing</t>
  </si>
  <si>
    <t>Chief Engineer, Hotel &amp; Public Area</t>
  </si>
  <si>
    <t>Chief Financial Officer &amp; Treasurer</t>
  </si>
  <si>
    <t>Assistant Director - Count</t>
  </si>
  <si>
    <t>Assistant Director - Facility Management</t>
  </si>
  <si>
    <t>Director of Cage and Count Operations</t>
  </si>
  <si>
    <t>Call Center &amp; Reservations Manager</t>
  </si>
  <si>
    <t>Assistant Vice President - Table Games</t>
  </si>
  <si>
    <t>Director - Floral Operations</t>
  </si>
  <si>
    <t>Senior Vice President - Chief HR Officer</t>
  </si>
  <si>
    <t>Senior Vice President - Electronic Gaming Operations</t>
  </si>
  <si>
    <t>Assistant Vice President - Loyalty</t>
  </si>
  <si>
    <t>Chief Legal Officer</t>
  </si>
  <si>
    <t>Manager - Gaming</t>
  </si>
  <si>
    <t>Director - Culinary</t>
  </si>
  <si>
    <t>Senior Manager - Distribution</t>
  </si>
  <si>
    <t>Chief Information Officer</t>
  </si>
  <si>
    <t>Vice President - Corporate Planning</t>
  </si>
  <si>
    <t>Assistant Vice President - Business Solutions</t>
  </si>
  <si>
    <t>Vice President - Business Solutions</t>
  </si>
  <si>
    <t>HR Manager - Talent Selection</t>
  </si>
  <si>
    <t>Senior Manager - Workforce Planning</t>
  </si>
  <si>
    <t>Assistant Manager - F&amp;B Administration</t>
  </si>
  <si>
    <t>Junior Officer - Security &amp; Compliance</t>
  </si>
  <si>
    <t>Associate Director - Digital Marketing</t>
  </si>
  <si>
    <t>Associate Director - Premium Dining</t>
  </si>
  <si>
    <t>Vice President - Surveillance</t>
  </si>
  <si>
    <t>Director and Chief Engineer</t>
  </si>
  <si>
    <t>Vice President - Accounting</t>
  </si>
  <si>
    <t>Associate Director - Rewards &amp; Employee Services</t>
  </si>
  <si>
    <t>Director of Internal Audit</t>
  </si>
  <si>
    <t>Vice President - Cage, Count and Credit</t>
  </si>
  <si>
    <t>Vice President - Corporate Marketing &amp; Communications</t>
  </si>
  <si>
    <t>Senior Creative Manager</t>
  </si>
  <si>
    <t>Assistant Vice President - Information Systems</t>
  </si>
  <si>
    <t>Vice President - Supply Chain</t>
  </si>
  <si>
    <t>Vice President - Electronic Gaming Operations</t>
  </si>
  <si>
    <t>Director - Surveillance Operations</t>
  </si>
  <si>
    <t>Vice President - Hotel Operations</t>
  </si>
  <si>
    <t>Assistant Vice President - International Marketing</t>
  </si>
  <si>
    <t>Assistant Director of Events - F&amp;B Administration</t>
  </si>
  <si>
    <t>Assistant Director - Credit &amp; Collections</t>
  </si>
  <si>
    <t>Senior Manager - Facility Management Administration</t>
  </si>
  <si>
    <t>Senior Manager - Finance &amp; Admin</t>
  </si>
  <si>
    <t>Director - Premium Marketing &amp; VIP Services</t>
  </si>
  <si>
    <t>Director - F&amp;B Operations</t>
  </si>
  <si>
    <t>Associate Director - Surveillance Special Projects</t>
  </si>
  <si>
    <t>Director - Property Marketing &amp; Branding</t>
  </si>
  <si>
    <t>Executive Director - Wellness &amp; Leisure</t>
  </si>
  <si>
    <t>Vice President - Strategic Marketing &amp; Business Planning</t>
  </si>
  <si>
    <t>Director - Banquet Operations</t>
  </si>
  <si>
    <t>Vice President - International Marketing</t>
  </si>
  <si>
    <t>Director - Hotel Operations</t>
  </si>
  <si>
    <t>Assistant Vice President - Gaming Technical Services</t>
  </si>
  <si>
    <t>BUYER</t>
  </si>
  <si>
    <t>Angelica Vasquez</t>
  </si>
  <si>
    <t>April Joyce Geniston</t>
  </si>
  <si>
    <t>Christian Macalindong</t>
  </si>
  <si>
    <t>Christian Paul Bangsal</t>
  </si>
  <si>
    <t>Dennis Dumapias</t>
  </si>
  <si>
    <t>Gianina Malka Mendoza</t>
  </si>
  <si>
    <t>Garret Neil Mojares</t>
  </si>
  <si>
    <t>Harvie Noriel</t>
  </si>
  <si>
    <t>Jeffry Bacani</t>
  </si>
  <si>
    <t>Jelor Gusi</t>
  </si>
  <si>
    <t>Jeric Conway Miranda</t>
  </si>
  <si>
    <t>Marco Gabriel Tibayan</t>
  </si>
  <si>
    <t>Martin Roland Cahiles</t>
  </si>
  <si>
    <t>Martin Ruiz Mercado</t>
  </si>
  <si>
    <t>Ram Marc Ona</t>
  </si>
  <si>
    <t>Rashel Nacor</t>
  </si>
  <si>
    <t>Richard Cruz</t>
  </si>
  <si>
    <t>Sollace Mae Lagne</t>
  </si>
  <si>
    <t>Wayne Dominic Magdaluyo</t>
  </si>
  <si>
    <t>Rhey Niel Valenzuela</t>
  </si>
  <si>
    <t>Cavin Hexane Mandilag</t>
  </si>
  <si>
    <t>Jennifer Enrile</t>
  </si>
  <si>
    <t>Jevalyn Cueva</t>
  </si>
  <si>
    <t>Rowie Marie Caudilla</t>
  </si>
  <si>
    <t>Guiller Fiestada</t>
  </si>
  <si>
    <t>Michael Yves Valdez</t>
  </si>
  <si>
    <t>JM Villacorte</t>
  </si>
  <si>
    <t>Narrizza Esteves</t>
  </si>
  <si>
    <t>Remilyn Lopez</t>
  </si>
  <si>
    <t>Rizzaro Dayrit</t>
  </si>
  <si>
    <t>Sara Jane Pontero</t>
  </si>
  <si>
    <t>Rhodeza Villaluna</t>
  </si>
  <si>
    <t>Joanna Perl Villasis</t>
  </si>
  <si>
    <t>Robert Tyron Samson</t>
  </si>
  <si>
    <t>Enryl Centeno</t>
  </si>
  <si>
    <t>Jonar Manzano</t>
  </si>
  <si>
    <t>Dan Errol Bavar</t>
  </si>
  <si>
    <t>Frederick Zulueta</t>
  </si>
  <si>
    <t>Brian Anthony Macalindong</t>
  </si>
  <si>
    <t>Jay Ramos</t>
  </si>
  <si>
    <t>Rey Tobias</t>
  </si>
  <si>
    <t>Danica Cruz</t>
  </si>
  <si>
    <t>Reynaldo Sta Rita</t>
  </si>
  <si>
    <t>Nilo Bendanillo</t>
  </si>
  <si>
    <t>Jazel Sibal</t>
  </si>
  <si>
    <t>John Vincent Dimaunahan</t>
  </si>
  <si>
    <t>Jexxel Hernandez</t>
  </si>
  <si>
    <t>M</t>
  </si>
  <si>
    <t>AD</t>
  </si>
  <si>
    <t>VP</t>
  </si>
  <si>
    <t>Ricardo Aguas, Jr.</t>
  </si>
  <si>
    <t>Sherwin Jeffrey Lacson</t>
  </si>
  <si>
    <r>
      <rPr>
        <b/>
        <sz val="16"/>
        <rFont val="Arial"/>
        <family val="2"/>
      </rPr>
      <t>TOTAL COST OF ACQUISITION</t>
    </r>
    <r>
      <rPr>
        <sz val="16"/>
        <rFont val="Arial"/>
        <family val="2"/>
      </rPr>
      <t xml:space="preserve"> (for Ringi Amount, as applicable):</t>
    </r>
  </si>
  <si>
    <t>Erwin Toralba</t>
  </si>
  <si>
    <t>Prince Delos Santos</t>
  </si>
  <si>
    <t>AM/M</t>
  </si>
  <si>
    <t>Joanna Perl Villasis / Dennis Dumapias</t>
  </si>
  <si>
    <t>Martin Ruiz Mercado / Christian Paul Bangsal</t>
  </si>
  <si>
    <t>PMI</t>
  </si>
  <si>
    <t>RECOMMENDED</t>
  </si>
  <si>
    <t>AWARDED TO RECOMMENDED</t>
  </si>
  <si>
    <t>Estee Sang</t>
  </si>
  <si>
    <t>Assistant Director - Promotion &amp; Events</t>
  </si>
  <si>
    <t>RECOMMENDED AMOUNT</t>
  </si>
  <si>
    <t xml:space="preserve"> DATE:</t>
  </si>
  <si>
    <t>SUPPLIER TYPE</t>
  </si>
  <si>
    <r>
      <t xml:space="preserve">GRAND TOTAL AWARDED
</t>
    </r>
    <r>
      <rPr>
        <b/>
        <sz val="9.5"/>
        <color theme="0"/>
        <rFont val="Arial"/>
        <family val="2"/>
      </rPr>
      <t>(VAT Ex / Inc)</t>
    </r>
  </si>
  <si>
    <t>SUPPLIER</t>
  </si>
  <si>
    <t>Asst. Manager, Procurement - OS&amp;E</t>
  </si>
  <si>
    <t>Asst. Manager, Procurement - CatMan OS&amp;E</t>
  </si>
  <si>
    <t>Officer, Procurement - F&amp;B</t>
  </si>
  <si>
    <t>Manager, Procurement - CatMan F&amp;B</t>
  </si>
  <si>
    <t>Asst. Manager, Procurement - Projects &amp; Services</t>
  </si>
  <si>
    <t>Senior Manager, Procurement - OS&amp;E</t>
  </si>
  <si>
    <t>Senior Manager, Procurement - F&amp;B</t>
  </si>
  <si>
    <t>Manager, Procurement - Projects &amp; Services</t>
  </si>
  <si>
    <t>Senior Manager, Procurement - Projects &amp; Services</t>
  </si>
  <si>
    <t>Shellame Palaganas</t>
  </si>
  <si>
    <t>Yzcel Ubando</t>
  </si>
  <si>
    <t>Associate Director - Procurement &amp; Strategic Planning</t>
  </si>
  <si>
    <t>Vice President - Supply Chain Division</t>
  </si>
  <si>
    <t>Michael Guanzon</t>
  </si>
  <si>
    <t>AML and Casino Regulatory Compliance</t>
  </si>
  <si>
    <t>Director - AML and Casino Regulatory Compliance</t>
  </si>
  <si>
    <t>Asst. Manager, Procurement - CatMan OS&amp;E / Asst. Manager, Procurement - OS&amp;E</t>
  </si>
  <si>
    <t>PRICE EXTENSION</t>
  </si>
  <si>
    <t xml:space="preserve"> </t>
  </si>
  <si>
    <t>PRICE REFERENCE</t>
  </si>
  <si>
    <t>ADD. SPEND</t>
  </si>
  <si>
    <t>INITIAL LOWEST (RECOMMENDED)</t>
  </si>
  <si>
    <t>N</t>
  </si>
  <si>
    <t>*MULTI - DIVISION</t>
  </si>
  <si>
    <t>MULTI - DIVISION</t>
  </si>
  <si>
    <t>Brand and Product Marketing</t>
  </si>
  <si>
    <t>Social and Digital Marketing</t>
  </si>
  <si>
    <t>Media Relations and Partnership</t>
  </si>
  <si>
    <t>Jeanalyn Delfin</t>
  </si>
  <si>
    <t>JoeBert Lazarte</t>
  </si>
  <si>
    <t>Senior Manager - Social &amp; Digital Marketing</t>
  </si>
  <si>
    <t>Senior Manager - Strategic Communications &amp; Creative Production</t>
  </si>
  <si>
    <t>Emergency Response Team (ERT)</t>
  </si>
  <si>
    <t>SH510603</t>
  </si>
  <si>
    <t>Occupational Safety &amp; Health (OSH)</t>
  </si>
  <si>
    <t>Security Technical Services</t>
  </si>
  <si>
    <t>SH510702</t>
  </si>
  <si>
    <t>Security Control Rooms</t>
  </si>
  <si>
    <t>SH510703</t>
  </si>
  <si>
    <t>Security Concierge</t>
  </si>
  <si>
    <t>SH510704</t>
  </si>
  <si>
    <t>Security Loading Dock</t>
  </si>
  <si>
    <t>IT Administration</t>
  </si>
  <si>
    <t>IT Finance</t>
  </si>
  <si>
    <t>IT Asset Management</t>
  </si>
  <si>
    <t>IT Network &amp; Telecoms</t>
  </si>
  <si>
    <t>IT Systems &amp; Data Center</t>
  </si>
  <si>
    <t>IT Business Engagement</t>
  </si>
  <si>
    <t>IT Business Analysis</t>
  </si>
  <si>
    <t>IT Quality Assurance</t>
  </si>
  <si>
    <t>IT Security &amp; Compliance</t>
  </si>
  <si>
    <t>IT Application Support</t>
  </si>
  <si>
    <t>IT Field Services</t>
  </si>
  <si>
    <t>IT Service Desk</t>
  </si>
  <si>
    <t>Mark Ryan Talabis</t>
  </si>
  <si>
    <t>Marketing Operations</t>
  </si>
  <si>
    <t>Overseas Sales</t>
  </si>
  <si>
    <t>GM510202</t>
  </si>
  <si>
    <t>GM510203</t>
  </si>
  <si>
    <t>GM510204</t>
  </si>
  <si>
    <t>Local Region</t>
  </si>
  <si>
    <t>Korean Region</t>
  </si>
  <si>
    <t>SEA Regions</t>
  </si>
  <si>
    <t>Chin Yang / Sasha Lan</t>
  </si>
  <si>
    <t>Sandy Valeriano / Jennylyn Ang</t>
  </si>
  <si>
    <t>Nick Park / Kangnae Lee</t>
  </si>
  <si>
    <t>Weng Sim</t>
  </si>
  <si>
    <t>Senior Manager - International Marketing, Operations (International Marketing) / Senior Manager - International Marketing, Operations (International Marketing)</t>
  </si>
  <si>
    <t>Director - Premium Marketing Business Development, Business Development / Director - Premium Marketing Business Development, Business Development</t>
  </si>
  <si>
    <t>Director - International Marketing (BD), Business Development / Director - Emerging Market Business Development, Business Development</t>
  </si>
  <si>
    <t>Assistant Director - Emerging Market Business Development, Business Development</t>
  </si>
  <si>
    <t>Gaming Promoter Relations</t>
  </si>
  <si>
    <t>06</t>
  </si>
  <si>
    <t>Total Quoted Amount
(per Supplier)</t>
  </si>
  <si>
    <t>Mark Lloydwin Bucag</t>
  </si>
  <si>
    <t>Kel Telford</t>
  </si>
  <si>
    <t>Executive Director - Chief Information Security Officer, Security &amp; Compliance</t>
  </si>
  <si>
    <t>Information Technology</t>
  </si>
  <si>
    <t>Mary Anne Lagrimas</t>
  </si>
  <si>
    <t>Table Games</t>
  </si>
  <si>
    <t>Inventory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</si>
</sst>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4" formatCode="_(* #,##0_);_(* \(#,##0\);_(* &quot;-&quot;_);_(@_)"/>
    <numFmt numFmtId="165" formatCode="_(* #,##0.00_);_(* \(#,##0.00\);_(* &quot;-&quot;??_);_(@_)"/>
    <numFmt numFmtId="166" formatCode="_(&quot;₱&quot;* #,##0.00_);_(&quot;₱&quot;* \(#,##0.00\);_(&quot;₱&quot;* &quot;-&quot;??_);_(@_)"/>
    <numFmt numFmtId="167" formatCode="[$-3409]mmmm\ dd\,\ yyyy;@"/>
    <numFmt numFmtId="168" formatCode="_(* #,##0_);_(* \(#,##0\);_(* &quot;-&quot;??_);_(@_)"/>
    <numFmt numFmtId="169" formatCode="[$PHP]\ #,##0.00"/>
    <numFmt numFmtId="170" formatCode="&quot;₱&quot;#,##0.00"/>
    <numFmt numFmtId="171" formatCode="[$PHP]\ #,##0.00_);\([$PHP]\ #,##0.00\)"/>
    <numFmt numFmtId="172" formatCode="0.0%"/>
    <numFmt numFmtId="173" formatCode="[$-F800]dddd\,\ mmmm\ dd\,\ yyyy"/>
  </numFmts>
  <fonts count="3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color theme="0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00B050"/>
      <name val="Arial"/>
      <family val="2"/>
    </font>
    <font>
      <sz val="11"/>
      <color rgb="FF00B05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20"/>
      <name val="Arial"/>
      <family val="2"/>
    </font>
    <font>
      <sz val="12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b/>
      <u val="double"/>
      <sz val="11"/>
      <name val="Arial"/>
      <family val="2"/>
    </font>
    <font>
      <b/>
      <u val="double"/>
      <sz val="11"/>
      <color theme="0"/>
      <name val="Arial"/>
      <family val="2"/>
    </font>
    <font>
      <b/>
      <sz val="12"/>
      <name val="Arial"/>
      <family val="2"/>
    </font>
    <font>
      <b/>
      <u/>
      <sz val="11"/>
      <name val="Arial"/>
      <family val="2"/>
    </font>
    <font>
      <sz val="8"/>
      <color rgb="FF000000"/>
      <name val="Segoe UI"/>
      <family val="2"/>
    </font>
    <font>
      <b/>
      <sz val="24"/>
      <color theme="0"/>
      <name val="Arial"/>
      <family val="2"/>
    </font>
    <font>
      <u/>
      <sz val="11"/>
      <color theme="10"/>
      <name val="Calibri"/>
      <family val="2"/>
      <scheme val="minor"/>
    </font>
    <font>
      <b/>
      <sz val="28"/>
      <name val="Arial"/>
      <family val="2"/>
    </font>
    <font>
      <b/>
      <sz val="11"/>
      <color theme="1"/>
      <name val="Calibri"/>
      <family val="2"/>
      <scheme val="minor"/>
    </font>
    <font>
      <b/>
      <sz val="18"/>
      <name val="Arial"/>
      <family val="2"/>
    </font>
    <font>
      <sz val="18"/>
      <name val="Arial"/>
      <family val="2"/>
    </font>
    <font>
      <b/>
      <u/>
      <sz val="16"/>
      <color theme="1"/>
      <name val="Arial"/>
      <family val="2"/>
    </font>
    <font>
      <sz val="11"/>
      <color rgb="FF00B050"/>
      <name val="Calibri"/>
      <family val="2"/>
      <scheme val="minor"/>
    </font>
    <font>
      <b/>
      <u/>
      <sz val="16"/>
      <name val="Arial"/>
      <family val="2"/>
    </font>
    <font>
      <b/>
      <sz val="11"/>
      <color rgb="FF00B050"/>
      <name val="Calibri"/>
      <family val="2"/>
      <scheme val="minor"/>
    </font>
    <font>
      <b/>
      <sz val="9.5"/>
      <color theme="0"/>
      <name val="Arial"/>
      <family val="2"/>
    </font>
    <font>
      <b/>
      <u val="double"/>
      <sz val="11"/>
      <color rgb="FF00B050"/>
      <name val="Arial"/>
      <family val="2"/>
    </font>
    <font>
      <b/>
      <u val="double"/>
      <sz val="11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98116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56">
    <border>
      <left/>
      <right/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66" fontId="2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1" fillId="0" borderId="0"/>
  </cellStyleXfs>
  <cellXfs count="358">
    <xf numFmtId="0" fontId="0" fillId="0" borderId="0" xfId="0"/>
    <xf numFmtId="165" fontId="3" fillId="0" borderId="0" xfId="0" applyNumberFormat="1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165" fontId="3" fillId="0" borderId="0" xfId="0" applyNumberFormat="1" applyFont="1" applyAlignment="1">
      <alignment vertical="center"/>
    </xf>
    <xf numFmtId="165" fontId="3" fillId="0" borderId="0" xfId="0" applyNumberFormat="1" applyFont="1" applyAlignment="1">
      <alignment vertical="center" wrapText="1"/>
    </xf>
    <xf numFmtId="165" fontId="3" fillId="0" borderId="0" xfId="0" applyNumberFormat="1" applyFont="1" applyProtection="1">
      <protection locked="0"/>
    </xf>
    <xf numFmtId="0" fontId="6" fillId="0" borderId="0" xfId="4" applyFont="1" applyProtection="1">
      <protection locked="0"/>
    </xf>
    <xf numFmtId="165" fontId="7" fillId="0" borderId="0" xfId="0" applyNumberFormat="1" applyFont="1" applyAlignment="1">
      <alignment wrapText="1"/>
    </xf>
    <xf numFmtId="165" fontId="3" fillId="0" borderId="0" xfId="0" applyNumberFormat="1" applyFont="1" applyAlignment="1" applyProtection="1">
      <alignment horizontal="left" vertical="center"/>
      <protection locked="0"/>
    </xf>
    <xf numFmtId="165" fontId="3" fillId="0" borderId="0" xfId="0" applyNumberFormat="1" applyFont="1" applyAlignment="1" applyProtection="1">
      <alignment horizontal="center" vertical="center"/>
      <protection locked="0"/>
    </xf>
    <xf numFmtId="165" fontId="7" fillId="0" borderId="0" xfId="0" applyNumberFormat="1" applyFont="1" applyAlignment="1" applyProtection="1">
      <alignment horizontal="center"/>
      <protection locked="0"/>
    </xf>
    <xf numFmtId="165" fontId="3" fillId="0" borderId="0" xfId="0" applyNumberFormat="1" applyFont="1" applyAlignment="1" applyProtection="1">
      <alignment horizontal="center"/>
      <protection locked="0"/>
    </xf>
    <xf numFmtId="3" fontId="9" fillId="0" borderId="3" xfId="1" applyNumberFormat="1" applyFont="1" applyFill="1" applyBorder="1" applyAlignment="1">
      <alignment horizontal="center" vertical="center" wrapText="1"/>
    </xf>
    <xf numFmtId="49" fontId="9" fillId="0" borderId="3" xfId="1" applyNumberFormat="1" applyFont="1" applyFill="1" applyBorder="1" applyAlignment="1">
      <alignment horizontal="center" vertical="center"/>
    </xf>
    <xf numFmtId="0" fontId="4" fillId="2" borderId="15" xfId="3" applyFont="1" applyFill="1" applyBorder="1" applyAlignment="1">
      <alignment horizontal="right" vertical="center"/>
    </xf>
    <xf numFmtId="168" fontId="3" fillId="0" borderId="0" xfId="0" applyNumberFormat="1" applyFont="1" applyAlignment="1">
      <alignment horizontal="left" vertical="center"/>
    </xf>
    <xf numFmtId="165" fontId="3" fillId="0" borderId="0" xfId="0" applyNumberFormat="1" applyFont="1" applyAlignment="1">
      <alignment horizontal="right" vertical="center"/>
    </xf>
    <xf numFmtId="165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71" fontId="5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171" fontId="5" fillId="0" borderId="0" xfId="0" applyNumberFormat="1" applyFont="1" applyAlignment="1">
      <alignment horizontal="right" vertical="center"/>
    </xf>
    <xf numFmtId="171" fontId="3" fillId="0" borderId="0" xfId="1" applyNumberFormat="1" applyFont="1" applyFill="1" applyBorder="1" applyAlignment="1">
      <alignment horizontal="center" vertical="center"/>
    </xf>
    <xf numFmtId="165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165" fontId="5" fillId="0" borderId="0" xfId="0" applyNumberFormat="1" applyFont="1" applyAlignment="1" applyProtection="1">
      <alignment horizontal="right" vertical="center"/>
      <protection locked="0"/>
    </xf>
    <xf numFmtId="0" fontId="5" fillId="0" borderId="0" xfId="0" applyFont="1" applyAlignment="1" applyProtection="1">
      <alignment horizontal="right" vertical="center"/>
      <protection locked="0"/>
    </xf>
    <xf numFmtId="170" fontId="5" fillId="0" borderId="0" xfId="1" applyNumberFormat="1" applyFont="1" applyFill="1" applyBorder="1" applyAlignment="1">
      <alignment horizontal="center" vertical="center"/>
    </xf>
    <xf numFmtId="165" fontId="3" fillId="0" borderId="0" xfId="0" applyNumberFormat="1" applyFont="1" applyAlignment="1" applyProtection="1">
      <alignment horizontal="right" vertical="center"/>
      <protection locked="0"/>
    </xf>
    <xf numFmtId="0" fontId="7" fillId="0" borderId="0" xfId="0" applyFont="1" applyAlignment="1" applyProtection="1">
      <alignment horizontal="left" vertical="center" wrapText="1"/>
      <protection locked="0"/>
    </xf>
    <xf numFmtId="0" fontId="6" fillId="0" borderId="0" xfId="4" applyFont="1" applyAlignment="1" applyProtection="1">
      <alignment horizontal="center" vertical="center"/>
      <protection locked="0"/>
    </xf>
    <xf numFmtId="0" fontId="7" fillId="0" borderId="0" xfId="0" applyFont="1" applyAlignment="1">
      <alignment horizontal="right" vertical="center"/>
    </xf>
    <xf numFmtId="0" fontId="7" fillId="0" borderId="0" xfId="0" applyFont="1" applyAlignment="1" applyProtection="1">
      <alignment vertical="center"/>
      <protection locked="0"/>
    </xf>
    <xf numFmtId="165" fontId="5" fillId="0" borderId="0" xfId="0" applyNumberFormat="1" applyFont="1" applyAlignment="1">
      <alignment horizontal="right" vertical="center"/>
    </xf>
    <xf numFmtId="0" fontId="4" fillId="2" borderId="15" xfId="3" applyFont="1" applyFill="1" applyBorder="1" applyAlignment="1">
      <alignment horizontal="center" vertical="center" wrapText="1"/>
    </xf>
    <xf numFmtId="0" fontId="4" fillId="2" borderId="15" xfId="3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1" fontId="8" fillId="0" borderId="0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top"/>
    </xf>
    <xf numFmtId="0" fontId="7" fillId="0" borderId="0" xfId="0" applyFont="1" applyAlignment="1" applyProtection="1">
      <alignment horizontal="left" vertical="center"/>
      <protection locked="0"/>
    </xf>
    <xf numFmtId="0" fontId="3" fillId="0" borderId="0" xfId="1" applyNumberFormat="1" applyFont="1" applyFill="1" applyBorder="1" applyAlignment="1">
      <alignment horizontal="left" vertical="center" wrapText="1"/>
    </xf>
    <xf numFmtId="165" fontId="3" fillId="0" borderId="0" xfId="1" applyFont="1" applyFill="1" applyBorder="1" applyAlignment="1">
      <alignment horizontal="center" vertical="center"/>
    </xf>
    <xf numFmtId="165" fontId="3" fillId="0" borderId="0" xfId="1" applyFont="1" applyFill="1" applyBorder="1" applyAlignment="1">
      <alignment vertical="center"/>
    </xf>
    <xf numFmtId="0" fontId="4" fillId="2" borderId="2" xfId="3" applyFont="1" applyFill="1" applyBorder="1" applyAlignment="1">
      <alignment vertical="center" wrapText="1"/>
    </xf>
    <xf numFmtId="0" fontId="4" fillId="2" borderId="1" xfId="3" applyFont="1" applyFill="1" applyBorder="1" applyAlignment="1">
      <alignment vertical="center"/>
    </xf>
    <xf numFmtId="0" fontId="4" fillId="2" borderId="2" xfId="3" applyFont="1" applyFill="1" applyBorder="1" applyAlignment="1">
      <alignment vertical="center"/>
    </xf>
    <xf numFmtId="0" fontId="5" fillId="0" borderId="3" xfId="1" applyNumberFormat="1" applyFont="1" applyFill="1" applyBorder="1" applyAlignment="1">
      <alignment horizontal="center" vertical="center" wrapText="1"/>
    </xf>
    <xf numFmtId="1" fontId="4" fillId="2" borderId="15" xfId="3" applyNumberFormat="1" applyFont="1" applyFill="1" applyBorder="1" applyAlignment="1">
      <alignment horizontal="center" vertical="center"/>
    </xf>
    <xf numFmtId="4" fontId="4" fillId="2" borderId="15" xfId="3" applyNumberFormat="1" applyFont="1" applyFill="1" applyBorder="1" applyAlignment="1">
      <alignment horizontal="center" vertical="center"/>
    </xf>
    <xf numFmtId="0" fontId="4" fillId="2" borderId="0" xfId="3" applyFont="1" applyFill="1" applyAlignment="1">
      <alignment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 applyProtection="1">
      <alignment vertical="center"/>
      <protection locked="0"/>
    </xf>
    <xf numFmtId="170" fontId="4" fillId="2" borderId="0" xfId="3" applyNumberFormat="1" applyFont="1" applyFill="1" applyAlignment="1">
      <alignment horizontal="center" vertical="center"/>
    </xf>
    <xf numFmtId="9" fontId="5" fillId="4" borderId="3" xfId="2" applyFont="1" applyFill="1" applyBorder="1" applyAlignment="1">
      <alignment horizontal="center" vertical="center"/>
    </xf>
    <xf numFmtId="0" fontId="5" fillId="0" borderId="0" xfId="0" applyFont="1" applyAlignment="1">
      <alignment wrapText="1"/>
    </xf>
    <xf numFmtId="0" fontId="5" fillId="0" borderId="0" xfId="0" applyFont="1" applyAlignment="1" applyProtection="1">
      <alignment horizontal="left" vertical="center"/>
      <protection locked="0"/>
    </xf>
    <xf numFmtId="168" fontId="3" fillId="0" borderId="3" xfId="1" applyNumberFormat="1" applyFont="1" applyFill="1" applyBorder="1" applyAlignment="1">
      <alignment horizontal="left" vertical="center" wrapText="1"/>
    </xf>
    <xf numFmtId="0" fontId="3" fillId="0" borderId="3" xfId="1" applyNumberFormat="1" applyFont="1" applyFill="1" applyBorder="1" applyAlignment="1">
      <alignment horizontal="center" vertical="center" wrapText="1"/>
    </xf>
    <xf numFmtId="0" fontId="5" fillId="0" borderId="0" xfId="0" applyFont="1"/>
    <xf numFmtId="170" fontId="3" fillId="0" borderId="3" xfId="1" applyNumberFormat="1" applyFont="1" applyFill="1" applyBorder="1" applyAlignment="1">
      <alignment horizontal="center" vertical="center" wrapText="1"/>
    </xf>
    <xf numFmtId="9" fontId="4" fillId="2" borderId="0" xfId="2" applyFont="1" applyFill="1" applyBorder="1" applyAlignment="1" applyProtection="1">
      <alignment horizontal="center" vertical="center"/>
    </xf>
    <xf numFmtId="165" fontId="5" fillId="0" borderId="0" xfId="0" applyNumberFormat="1" applyFont="1" applyAlignment="1" applyProtection="1">
      <alignment horizontal="left" vertical="center"/>
      <protection locked="0"/>
    </xf>
    <xf numFmtId="0" fontId="3" fillId="0" borderId="0" xfId="1" applyNumberFormat="1" applyFont="1" applyFill="1" applyBorder="1" applyAlignment="1">
      <alignment horizontal="left" vertical="center"/>
    </xf>
    <xf numFmtId="0" fontId="3" fillId="0" borderId="0" xfId="0" applyFont="1" applyAlignment="1" applyProtection="1">
      <alignment horizontal="left" vertical="center"/>
      <protection locked="0"/>
    </xf>
    <xf numFmtId="0" fontId="3" fillId="0" borderId="0" xfId="0" applyFont="1" applyAlignment="1">
      <alignment horizontal="left" vertical="center"/>
    </xf>
    <xf numFmtId="0" fontId="14" fillId="0" borderId="0" xfId="0" applyFont="1" applyAlignment="1">
      <alignment wrapText="1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left" vertical="top"/>
    </xf>
    <xf numFmtId="0" fontId="16" fillId="0" borderId="0" xfId="0" applyFont="1" applyAlignment="1" applyProtection="1">
      <alignment horizontal="left" vertical="center"/>
      <protection locked="0"/>
    </xf>
    <xf numFmtId="0" fontId="17" fillId="0" borderId="0" xfId="0" applyFont="1" applyAlignment="1" applyProtection="1">
      <alignment horizontal="right" vertical="center"/>
      <protection locked="0"/>
    </xf>
    <xf numFmtId="165" fontId="15" fillId="0" borderId="0" xfId="1" applyFont="1" applyFill="1" applyBorder="1" applyAlignment="1">
      <alignment horizontal="center" vertical="center"/>
    </xf>
    <xf numFmtId="165" fontId="15" fillId="0" borderId="0" xfId="1" applyFont="1" applyFill="1" applyBorder="1" applyAlignment="1">
      <alignment vertical="center"/>
    </xf>
    <xf numFmtId="0" fontId="6" fillId="0" borderId="0" xfId="0" applyFont="1" applyAlignment="1" applyProtection="1">
      <alignment horizontal="left" vertical="center"/>
      <protection locked="0"/>
    </xf>
    <xf numFmtId="0" fontId="4" fillId="2" borderId="16" xfId="3" applyFont="1" applyFill="1" applyBorder="1" applyAlignment="1">
      <alignment horizontal="center" vertical="center" wrapText="1"/>
    </xf>
    <xf numFmtId="165" fontId="5" fillId="4" borderId="0" xfId="0" applyNumberFormat="1" applyFont="1" applyFill="1" applyAlignment="1" applyProtection="1">
      <alignment horizontal="right" vertical="center"/>
      <protection locked="0"/>
    </xf>
    <xf numFmtId="1" fontId="5" fillId="4" borderId="3" xfId="1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right" vertical="center"/>
    </xf>
    <xf numFmtId="9" fontId="3" fillId="5" borderId="3" xfId="2" applyFont="1" applyFill="1" applyBorder="1" applyAlignment="1">
      <alignment horizontal="center" vertical="center"/>
    </xf>
    <xf numFmtId="165" fontId="5" fillId="5" borderId="0" xfId="0" applyNumberFormat="1" applyFont="1" applyFill="1" applyAlignment="1">
      <alignment horizontal="center" vertical="center"/>
    </xf>
    <xf numFmtId="10" fontId="5" fillId="5" borderId="0" xfId="0" applyNumberFormat="1" applyFont="1" applyFill="1" applyAlignment="1">
      <alignment horizontal="center" vertical="center"/>
    </xf>
    <xf numFmtId="170" fontId="3" fillId="5" borderId="3" xfId="0" applyNumberFormat="1" applyFont="1" applyFill="1" applyBorder="1" applyAlignment="1">
      <alignment horizontal="center" vertical="center"/>
    </xf>
    <xf numFmtId="1" fontId="3" fillId="5" borderId="3" xfId="1" applyNumberFormat="1" applyFont="1" applyFill="1" applyBorder="1" applyAlignment="1">
      <alignment horizontal="center" vertical="center"/>
    </xf>
    <xf numFmtId="170" fontId="8" fillId="5" borderId="9" xfId="1" applyNumberFormat="1" applyFont="1" applyFill="1" applyBorder="1" applyAlignment="1">
      <alignment vertical="center"/>
    </xf>
    <xf numFmtId="1" fontId="8" fillId="5" borderId="0" xfId="1" applyNumberFormat="1" applyFont="1" applyFill="1" applyBorder="1" applyAlignment="1">
      <alignment horizontal="center" vertical="center"/>
    </xf>
    <xf numFmtId="172" fontId="8" fillId="5" borderId="0" xfId="2" applyNumberFormat="1" applyFont="1" applyFill="1" applyBorder="1" applyAlignment="1">
      <alignment horizontal="center" vertical="center"/>
    </xf>
    <xf numFmtId="9" fontId="8" fillId="5" borderId="9" xfId="2" applyFont="1" applyFill="1" applyBorder="1" applyAlignment="1">
      <alignment horizontal="center" vertical="center"/>
    </xf>
    <xf numFmtId="0" fontId="4" fillId="2" borderId="23" xfId="1" applyNumberFormat="1" applyFont="1" applyFill="1" applyBorder="1" applyAlignment="1">
      <alignment horizontal="center" vertical="center" wrapText="1"/>
    </xf>
    <xf numFmtId="0" fontId="4" fillId="2" borderId="22" xfId="1" applyNumberFormat="1" applyFont="1" applyFill="1" applyBorder="1" applyAlignment="1">
      <alignment horizontal="center" vertical="center" wrapText="1"/>
    </xf>
    <xf numFmtId="0" fontId="4" fillId="2" borderId="24" xfId="1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2" borderId="0" xfId="3" applyFont="1" applyFill="1" applyAlignment="1">
      <alignment horizontal="center" vertical="center"/>
    </xf>
    <xf numFmtId="169" fontId="3" fillId="0" borderId="0" xfId="0" applyNumberFormat="1" applyFont="1" applyAlignment="1">
      <alignment horizontal="center" vertical="center" wrapText="1"/>
    </xf>
    <xf numFmtId="1" fontId="4" fillId="2" borderId="15" xfId="3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right" vertical="center"/>
    </xf>
    <xf numFmtId="0" fontId="21" fillId="0" borderId="0" xfId="0" applyFont="1" applyAlignment="1">
      <alignment horizontal="right" vertical="center"/>
    </xf>
    <xf numFmtId="0" fontId="19" fillId="2" borderId="15" xfId="3" applyFont="1" applyFill="1" applyBorder="1" applyAlignment="1">
      <alignment horizontal="center" vertical="center" wrapText="1"/>
    </xf>
    <xf numFmtId="0" fontId="4" fillId="2" borderId="26" xfId="1" applyNumberFormat="1" applyFont="1" applyFill="1" applyBorder="1" applyAlignment="1">
      <alignment horizontal="center" vertical="center" wrapText="1"/>
    </xf>
    <xf numFmtId="0" fontId="4" fillId="2" borderId="11" xfId="1" quotePrefix="1" applyNumberFormat="1" applyFont="1" applyFill="1" applyBorder="1" applyAlignment="1">
      <alignment horizontal="center" vertical="center" wrapText="1"/>
    </xf>
    <xf numFmtId="0" fontId="4" fillId="2" borderId="7" xfId="1" applyNumberFormat="1" applyFont="1" applyFill="1" applyBorder="1" applyAlignment="1">
      <alignment horizontal="center" vertical="center" wrapText="1"/>
    </xf>
    <xf numFmtId="0" fontId="4" fillId="2" borderId="8" xfId="1" applyNumberFormat="1" applyFont="1" applyFill="1" applyBorder="1" applyAlignment="1">
      <alignment horizontal="center" vertical="center" wrapText="1"/>
    </xf>
    <xf numFmtId="0" fontId="4" fillId="2" borderId="38" xfId="1" applyNumberFormat="1" applyFont="1" applyFill="1" applyBorder="1" applyAlignment="1">
      <alignment horizontal="center" vertical="center" wrapText="1"/>
    </xf>
    <xf numFmtId="0" fontId="4" fillId="2" borderId="37" xfId="1" applyNumberFormat="1" applyFont="1" applyFill="1" applyBorder="1" applyAlignment="1">
      <alignment horizontal="center" vertical="center" wrapText="1"/>
    </xf>
    <xf numFmtId="0" fontId="4" fillId="2" borderId="7" xfId="1" applyNumberFormat="1" applyFont="1" applyFill="1" applyBorder="1" applyAlignment="1">
      <alignment horizontal="center" vertical="center"/>
    </xf>
    <xf numFmtId="0" fontId="4" fillId="2" borderId="10" xfId="1" applyNumberFormat="1" applyFont="1" applyFill="1" applyBorder="1" applyAlignment="1">
      <alignment horizontal="center" vertical="center" wrapText="1"/>
    </xf>
    <xf numFmtId="0" fontId="4" fillId="2" borderId="38" xfId="1" applyNumberFormat="1" applyFont="1" applyFill="1" applyBorder="1" applyAlignment="1">
      <alignment horizontal="center" vertical="center"/>
    </xf>
    <xf numFmtId="0" fontId="4" fillId="2" borderId="19" xfId="0" applyFont="1" applyFill="1" applyBorder="1" applyAlignment="1" applyProtection="1">
      <alignment horizontal="centerContinuous" vertical="center"/>
      <protection locked="0"/>
    </xf>
    <xf numFmtId="0" fontId="4" fillId="2" borderId="20" xfId="0" applyFont="1" applyFill="1" applyBorder="1" applyAlignment="1" applyProtection="1">
      <alignment horizontal="centerContinuous" vertical="center"/>
      <protection locked="0"/>
    </xf>
    <xf numFmtId="0" fontId="4" fillId="2" borderId="21" xfId="0" applyFont="1" applyFill="1" applyBorder="1" applyAlignment="1" applyProtection="1">
      <alignment horizontal="centerContinuous" vertical="center"/>
      <protection locked="0"/>
    </xf>
    <xf numFmtId="0" fontId="4" fillId="2" borderId="35" xfId="0" applyFont="1" applyFill="1" applyBorder="1" applyAlignment="1" applyProtection="1">
      <alignment horizontal="centerContinuous" vertical="center"/>
      <protection locked="0"/>
    </xf>
    <xf numFmtId="0" fontId="4" fillId="2" borderId="36" xfId="0" applyFont="1" applyFill="1" applyBorder="1" applyAlignment="1" applyProtection="1">
      <alignment horizontal="centerContinuous" vertical="center"/>
      <protection locked="0"/>
    </xf>
    <xf numFmtId="0" fontId="4" fillId="2" borderId="31" xfId="1" applyNumberFormat="1" applyFont="1" applyFill="1" applyBorder="1" applyAlignment="1">
      <alignment horizontal="centerContinuous" vertical="center" wrapText="1"/>
    </xf>
    <xf numFmtId="0" fontId="4" fillId="2" borderId="32" xfId="1" applyNumberFormat="1" applyFont="1" applyFill="1" applyBorder="1" applyAlignment="1">
      <alignment horizontal="centerContinuous" vertical="center" wrapText="1"/>
    </xf>
    <xf numFmtId="0" fontId="4" fillId="2" borderId="33" xfId="1" applyNumberFormat="1" applyFont="1" applyFill="1" applyBorder="1" applyAlignment="1">
      <alignment horizontal="centerContinuous" vertical="center" wrapText="1"/>
    </xf>
    <xf numFmtId="170" fontId="8" fillId="5" borderId="9" xfId="1" applyNumberFormat="1" applyFont="1" applyFill="1" applyBorder="1" applyAlignment="1">
      <alignment horizontal="center" vertical="center"/>
    </xf>
    <xf numFmtId="0" fontId="7" fillId="0" borderId="0" xfId="0" applyFont="1" applyAlignment="1" applyProtection="1">
      <alignment horizontal="center" vertical="center" wrapText="1"/>
      <protection locked="0"/>
    </xf>
    <xf numFmtId="170" fontId="5" fillId="4" borderId="3" xfId="5" applyNumberFormat="1" applyFont="1" applyFill="1" applyBorder="1" applyAlignment="1">
      <alignment horizontal="center" vertical="center"/>
    </xf>
    <xf numFmtId="165" fontId="3" fillId="7" borderId="0" xfId="0" applyNumberFormat="1" applyFont="1" applyFill="1" applyAlignment="1">
      <alignment vertical="center"/>
    </xf>
    <xf numFmtId="0" fontId="3" fillId="0" borderId="3" xfId="1" applyNumberFormat="1" applyFont="1" applyFill="1" applyBorder="1" applyAlignment="1">
      <alignment horizontal="center" vertical="center"/>
    </xf>
    <xf numFmtId="0" fontId="3" fillId="0" borderId="3" xfId="1" applyNumberFormat="1" applyFont="1" applyFill="1" applyBorder="1" applyAlignment="1">
      <alignment horizontal="left" vertical="center" wrapText="1"/>
    </xf>
    <xf numFmtId="169" fontId="3" fillId="0" borderId="3" xfId="1" applyNumberFormat="1" applyFont="1" applyFill="1" applyBorder="1" applyAlignment="1">
      <alignment horizontal="center" vertical="center" wrapText="1"/>
    </xf>
    <xf numFmtId="14" fontId="3" fillId="0" borderId="3" xfId="1" applyNumberFormat="1" applyFont="1" applyFill="1" applyBorder="1" applyAlignment="1">
      <alignment horizontal="center" vertical="center" wrapText="1"/>
    </xf>
    <xf numFmtId="9" fontId="3" fillId="0" borderId="3" xfId="2" applyFont="1" applyFill="1" applyBorder="1" applyAlignment="1">
      <alignment horizontal="center" vertical="center" wrapText="1"/>
    </xf>
    <xf numFmtId="164" fontId="3" fillId="0" borderId="3" xfId="1" applyNumberFormat="1" applyFont="1" applyFill="1" applyBorder="1" applyAlignment="1">
      <alignment horizontal="center" vertical="center" wrapText="1"/>
    </xf>
    <xf numFmtId="9" fontId="24" fillId="0" borderId="3" xfId="6" applyNumberFormat="1" applyFill="1" applyBorder="1" applyAlignment="1">
      <alignment horizontal="center" vertical="center"/>
    </xf>
    <xf numFmtId="0" fontId="27" fillId="0" borderId="0" xfId="0" applyFont="1" applyAlignment="1" applyProtection="1">
      <alignment horizontal="right" vertical="center"/>
      <protection locked="0"/>
    </xf>
    <xf numFmtId="0" fontId="27" fillId="0" borderId="0" xfId="0" applyFont="1" applyAlignment="1" applyProtection="1">
      <alignment horizontal="left" vertical="center"/>
      <protection locked="0"/>
    </xf>
    <xf numFmtId="165" fontId="27" fillId="0" borderId="0" xfId="0" applyNumberFormat="1" applyFont="1" applyAlignment="1" applyProtection="1">
      <alignment horizontal="left" vertical="center"/>
      <protection locked="0"/>
    </xf>
    <xf numFmtId="0" fontId="4" fillId="2" borderId="32" xfId="3" applyFont="1" applyFill="1" applyBorder="1" applyAlignment="1">
      <alignment vertical="center"/>
    </xf>
    <xf numFmtId="0" fontId="4" fillId="2" borderId="33" xfId="3" applyFont="1" applyFill="1" applyBorder="1" applyAlignment="1">
      <alignment vertical="center"/>
    </xf>
    <xf numFmtId="0" fontId="4" fillId="2" borderId="39" xfId="3" applyFont="1" applyFill="1" applyBorder="1" applyAlignment="1">
      <alignment vertical="center"/>
    </xf>
    <xf numFmtId="0" fontId="4" fillId="2" borderId="41" xfId="3" applyFont="1" applyFill="1" applyBorder="1" applyAlignment="1">
      <alignment vertical="center"/>
    </xf>
    <xf numFmtId="0" fontId="4" fillId="2" borderId="31" xfId="3" applyFont="1" applyFill="1" applyBorder="1" applyAlignment="1">
      <alignment horizontal="centerContinuous" vertical="center"/>
    </xf>
    <xf numFmtId="0" fontId="4" fillId="2" borderId="32" xfId="3" applyFont="1" applyFill="1" applyBorder="1" applyAlignment="1">
      <alignment horizontal="centerContinuous" vertical="center"/>
    </xf>
    <xf numFmtId="0" fontId="4" fillId="2" borderId="40" xfId="3" applyFont="1" applyFill="1" applyBorder="1" applyAlignment="1">
      <alignment horizontal="centerContinuous" vertical="center"/>
    </xf>
    <xf numFmtId="0" fontId="4" fillId="2" borderId="39" xfId="3" applyFont="1" applyFill="1" applyBorder="1" applyAlignment="1">
      <alignment horizontal="centerContinuous" vertical="center"/>
    </xf>
    <xf numFmtId="170" fontId="5" fillId="0" borderId="3" xfId="1" applyNumberFormat="1" applyFont="1" applyFill="1" applyBorder="1" applyAlignment="1">
      <alignment horizontal="center" vertical="center"/>
    </xf>
    <xf numFmtId="170" fontId="5" fillId="0" borderId="4" xfId="1" applyNumberFormat="1" applyFont="1" applyFill="1" applyBorder="1" applyAlignment="1">
      <alignment horizontal="center" vertical="center"/>
    </xf>
    <xf numFmtId="170" fontId="5" fillId="0" borderId="5" xfId="1" applyNumberFormat="1" applyFont="1" applyFill="1" applyBorder="1" applyAlignment="1">
      <alignment horizontal="center" vertical="center"/>
    </xf>
    <xf numFmtId="171" fontId="3" fillId="0" borderId="0" xfId="0" applyNumberFormat="1" applyFont="1" applyAlignment="1">
      <alignment horizontal="center" vertical="center"/>
    </xf>
    <xf numFmtId="170" fontId="5" fillId="0" borderId="5" xfId="1" applyNumberFormat="1" applyFont="1" applyFill="1" applyBorder="1" applyAlignment="1">
      <alignment horizontal="center" vertical="center"/>
    </xf>
    <xf numFmtId="171" fontId="3" fillId="0" borderId="0" xfId="0" applyNumberFormat="1" applyFont="1" applyAlignment="1">
      <alignment horizontal="center" vertical="center"/>
    </xf>
    <xf numFmtId="14" fontId="3" fillId="8" borderId="3" xfId="0" applyNumberFormat="1" applyFont="1" applyFill="1" applyBorder="1" applyAlignment="1" applyProtection="1">
      <alignment horizontal="center" vertical="center" wrapText="1"/>
      <protection locked="0"/>
    </xf>
    <xf numFmtId="165" fontId="3" fillId="0" borderId="3" xfId="0" applyNumberFormat="1" applyFont="1" applyFill="1" applyBorder="1" applyAlignment="1" applyProtection="1">
      <alignment horizontal="center" vertical="center" wrapText="1"/>
      <protection locked="0"/>
    </xf>
    <xf numFmtId="10" fontId="4" fillId="2" borderId="15" xfId="2" applyNumberFormat="1" applyFont="1" applyFill="1" applyBorder="1" applyAlignment="1" applyProtection="1">
      <alignment horizontal="center" vertical="center" wrapText="1"/>
    </xf>
    <xf numFmtId="170" fontId="5" fillId="4" borderId="49" xfId="5" applyNumberFormat="1" applyFont="1" applyFill="1" applyBorder="1" applyAlignment="1">
      <alignment horizontal="center" vertical="center"/>
    </xf>
    <xf numFmtId="1" fontId="5" fillId="4" borderId="49" xfId="1" applyNumberFormat="1" applyFont="1" applyFill="1" applyBorder="1" applyAlignment="1">
      <alignment horizontal="center" vertical="center"/>
    </xf>
    <xf numFmtId="172" fontId="5" fillId="4" borderId="49" xfId="2" applyNumberFormat="1" applyFont="1" applyFill="1" applyBorder="1" applyAlignment="1">
      <alignment horizontal="center" vertical="center"/>
    </xf>
    <xf numFmtId="170" fontId="5" fillId="4" borderId="49" xfId="1" applyNumberFormat="1" applyFont="1" applyFill="1" applyBorder="1" applyAlignment="1">
      <alignment horizontal="center" vertical="center"/>
    </xf>
    <xf numFmtId="10" fontId="5" fillId="4" borderId="49" xfId="2" applyNumberFormat="1" applyFont="1" applyFill="1" applyBorder="1" applyAlignment="1">
      <alignment horizontal="center" vertical="center"/>
    </xf>
    <xf numFmtId="165" fontId="3" fillId="8" borderId="3" xfId="0" applyNumberFormat="1" applyFont="1" applyFill="1" applyBorder="1" applyAlignment="1" applyProtection="1">
      <alignment horizontal="right" vertical="center" wrapText="1"/>
      <protection locked="0"/>
    </xf>
    <xf numFmtId="170" fontId="5" fillId="0" borderId="5" xfId="1" applyNumberFormat="1" applyFont="1" applyFill="1" applyBorder="1" applyAlignment="1">
      <alignment horizontal="center" vertical="center"/>
    </xf>
    <xf numFmtId="171" fontId="3" fillId="0" borderId="0" xfId="0" applyNumberFormat="1" applyFont="1" applyAlignment="1">
      <alignment horizontal="center" vertical="center"/>
    </xf>
    <xf numFmtId="0" fontId="4" fillId="2" borderId="0" xfId="3" applyNumberFormat="1" applyFont="1" applyFill="1" applyBorder="1" applyAlignment="1">
      <alignment horizontal="center" vertical="center"/>
    </xf>
    <xf numFmtId="0" fontId="4" fillId="2" borderId="48" xfId="3" applyNumberFormat="1" applyFont="1" applyFill="1" applyBorder="1" applyAlignment="1">
      <alignment horizontal="center" vertical="center"/>
    </xf>
    <xf numFmtId="1" fontId="3" fillId="8" borderId="3" xfId="1" applyNumberFormat="1" applyFont="1" applyFill="1" applyBorder="1" applyAlignment="1">
      <alignment horizontal="center" vertical="center" wrapText="1"/>
    </xf>
    <xf numFmtId="10" fontId="3" fillId="8" borderId="3" xfId="2" applyNumberFormat="1" applyFont="1" applyFill="1" applyBorder="1" applyAlignment="1">
      <alignment horizontal="center" vertical="center" wrapText="1"/>
    </xf>
    <xf numFmtId="170" fontId="5" fillId="0" borderId="51" xfId="1" applyNumberFormat="1" applyFont="1" applyFill="1" applyBorder="1" applyAlignment="1">
      <alignment horizontal="center" vertical="center"/>
    </xf>
    <xf numFmtId="0" fontId="28" fillId="0" borderId="0" xfId="0" applyFont="1" applyBorder="1" applyAlignment="1">
      <alignment vertical="top" wrapText="1"/>
    </xf>
    <xf numFmtId="0" fontId="28" fillId="0" borderId="8" xfId="0" applyFont="1" applyBorder="1" applyAlignment="1">
      <alignment vertical="top" wrapText="1"/>
    </xf>
    <xf numFmtId="0" fontId="28" fillId="0" borderId="9" xfId="0" applyFont="1" applyBorder="1" applyAlignment="1">
      <alignment vertical="top" wrapText="1"/>
    </xf>
    <xf numFmtId="0" fontId="28" fillId="0" borderId="10" xfId="0" applyFont="1" applyBorder="1" applyAlignment="1">
      <alignment vertical="top" wrapText="1"/>
    </xf>
    <xf numFmtId="0" fontId="28" fillId="0" borderId="17" xfId="0" applyFont="1" applyBorder="1" applyAlignment="1">
      <alignment vertical="top" wrapText="1"/>
    </xf>
    <xf numFmtId="0" fontId="28" fillId="0" borderId="18" xfId="0" applyFont="1" applyBorder="1" applyAlignment="1">
      <alignment vertical="top" wrapText="1"/>
    </xf>
    <xf numFmtId="0" fontId="28" fillId="0" borderId="12" xfId="0" applyFont="1" applyBorder="1" applyAlignment="1">
      <alignment vertical="top" wrapText="1"/>
    </xf>
    <xf numFmtId="0" fontId="28" fillId="0" borderId="13" xfId="0" applyFont="1" applyBorder="1" applyAlignment="1">
      <alignment vertical="top" wrapText="1"/>
    </xf>
    <xf numFmtId="0" fontId="28" fillId="0" borderId="14" xfId="0" applyFont="1" applyBorder="1" applyAlignment="1">
      <alignment vertical="top" wrapText="1"/>
    </xf>
    <xf numFmtId="0" fontId="17" fillId="0" borderId="0" xfId="0" applyFont="1" applyAlignment="1" applyProtection="1">
      <alignment horizontal="right" vertical="center" wrapText="1"/>
      <protection locked="0"/>
    </xf>
    <xf numFmtId="0" fontId="26" fillId="0" borderId="3" xfId="0" applyFont="1" applyBorder="1"/>
    <xf numFmtId="165" fontId="5" fillId="0" borderId="0" xfId="0" applyNumberFormat="1" applyFont="1" applyAlignment="1" applyProtection="1">
      <alignment vertical="center"/>
      <protection locked="0"/>
    </xf>
    <xf numFmtId="0" fontId="32" fillId="0" borderId="3" xfId="0" applyFont="1" applyBorder="1"/>
    <xf numFmtId="0" fontId="17" fillId="0" borderId="0" xfId="4" applyNumberFormat="1" applyFont="1" applyProtection="1">
      <protection locked="0"/>
    </xf>
    <xf numFmtId="0" fontId="14" fillId="0" borderId="0" xfId="0" applyNumberFormat="1" applyFont="1" applyAlignment="1">
      <alignment vertical="center"/>
    </xf>
    <xf numFmtId="0" fontId="17" fillId="0" borderId="0" xfId="4" applyNumberFormat="1" applyFont="1" applyAlignment="1" applyProtection="1">
      <alignment vertical="center"/>
      <protection locked="0"/>
    </xf>
    <xf numFmtId="0" fontId="31" fillId="0" borderId="0" xfId="0" applyNumberFormat="1" applyFont="1" applyAlignment="1">
      <alignment vertical="center"/>
    </xf>
    <xf numFmtId="0" fontId="29" fillId="0" borderId="0" xfId="4" applyNumberFormat="1" applyFont="1" applyAlignment="1" applyProtection="1">
      <alignment vertical="center"/>
      <protection locked="0"/>
    </xf>
    <xf numFmtId="0" fontId="29" fillId="0" borderId="0" xfId="4" applyNumberFormat="1" applyFont="1" applyProtection="1">
      <protection locked="0"/>
    </xf>
    <xf numFmtId="0" fontId="31" fillId="0" borderId="0" xfId="4" applyNumberFormat="1" applyFont="1" applyAlignment="1" applyProtection="1">
      <alignment horizontal="right"/>
      <protection locked="0"/>
    </xf>
    <xf numFmtId="0" fontId="29" fillId="0" borderId="0" xfId="4" quotePrefix="1" applyNumberFormat="1" applyFont="1" applyAlignment="1" applyProtection="1">
      <alignment horizontal="left" vertical="center"/>
      <protection locked="0"/>
    </xf>
    <xf numFmtId="0" fontId="29" fillId="0" borderId="0" xfId="4" quotePrefix="1" applyNumberFormat="1" applyFont="1" applyAlignment="1" applyProtection="1">
      <alignment horizontal="left"/>
      <protection locked="0"/>
    </xf>
    <xf numFmtId="0" fontId="16" fillId="0" borderId="0" xfId="4" applyNumberFormat="1" applyFont="1" applyAlignment="1" applyProtection="1">
      <alignment vertical="center"/>
      <protection locked="0"/>
    </xf>
    <xf numFmtId="0" fontId="14" fillId="0" borderId="0" xfId="0" applyNumberFormat="1" applyFont="1" applyAlignment="1">
      <alignment horizontal="left" vertical="center"/>
    </xf>
    <xf numFmtId="0" fontId="16" fillId="0" borderId="0" xfId="4" applyNumberFormat="1" applyFont="1" applyAlignment="1" applyProtection="1">
      <alignment vertical="top"/>
      <protection locked="0"/>
    </xf>
    <xf numFmtId="0" fontId="15" fillId="0" borderId="0" xfId="0" applyNumberFormat="1" applyFont="1" applyAlignment="1">
      <alignment horizontal="left" vertical="center"/>
    </xf>
    <xf numFmtId="0" fontId="15" fillId="0" borderId="0" xfId="0" applyNumberFormat="1" applyFont="1" applyAlignment="1">
      <alignment vertical="center"/>
    </xf>
    <xf numFmtId="0" fontId="3" fillId="0" borderId="5" xfId="1" applyNumberFormat="1" applyFont="1" applyFill="1" applyBorder="1" applyAlignment="1">
      <alignment horizontal="center" vertical="center"/>
    </xf>
    <xf numFmtId="0" fontId="3" fillId="0" borderId="51" xfId="1" applyNumberFormat="1" applyFont="1" applyFill="1" applyBorder="1" applyAlignment="1">
      <alignment horizontal="center" vertical="center"/>
    </xf>
    <xf numFmtId="49" fontId="3" fillId="0" borderId="5" xfId="1" applyNumberFormat="1" applyFont="1" applyFill="1" applyBorder="1" applyAlignment="1">
      <alignment horizontal="center" vertical="center"/>
    </xf>
    <xf numFmtId="49" fontId="3" fillId="0" borderId="51" xfId="1" applyNumberFormat="1" applyFont="1" applyFill="1" applyBorder="1" applyAlignment="1">
      <alignment horizontal="center" vertical="center"/>
    </xf>
    <xf numFmtId="49" fontId="3" fillId="0" borderId="4" xfId="1" applyNumberFormat="1" applyFont="1" applyFill="1" applyBorder="1" applyAlignment="1">
      <alignment horizontal="center" vertical="center"/>
    </xf>
    <xf numFmtId="49" fontId="3" fillId="0" borderId="0" xfId="1" applyNumberFormat="1" applyFont="1" applyFill="1" applyBorder="1" applyAlignment="1">
      <alignment horizontal="center" vertical="center"/>
    </xf>
    <xf numFmtId="0" fontId="3" fillId="0" borderId="0" xfId="1" applyNumberFormat="1" applyFont="1" applyFill="1" applyBorder="1" applyAlignment="1">
      <alignment horizontal="center" vertical="center"/>
    </xf>
    <xf numFmtId="0" fontId="17" fillId="0" borderId="0" xfId="4" quotePrefix="1" applyNumberFormat="1" applyFont="1" applyProtection="1">
      <protection locked="0"/>
    </xf>
    <xf numFmtId="170" fontId="3" fillId="8" borderId="3" xfId="0" applyNumberFormat="1" applyFont="1" applyFill="1" applyBorder="1" applyAlignment="1">
      <alignment horizontal="center" vertical="center" wrapText="1"/>
    </xf>
    <xf numFmtId="10" fontId="3" fillId="8" borderId="3" xfId="2" applyNumberFormat="1" applyFont="1" applyFill="1" applyBorder="1" applyAlignment="1" applyProtection="1">
      <alignment horizontal="center" vertical="center" wrapText="1"/>
    </xf>
    <xf numFmtId="0" fontId="32" fillId="0" borderId="3" xfId="0" quotePrefix="1" applyFont="1" applyBorder="1"/>
    <xf numFmtId="0" fontId="4" fillId="2" borderId="1" xfId="3" applyFont="1" applyFill="1" applyBorder="1" applyAlignment="1">
      <alignment vertical="center" wrapText="1"/>
    </xf>
    <xf numFmtId="0" fontId="4" fillId="2" borderId="19" xfId="0" applyFont="1" applyFill="1" applyBorder="1" applyAlignment="1" applyProtection="1">
      <alignment horizontal="centerContinuous" vertical="center" wrapText="1"/>
      <protection locked="0"/>
    </xf>
    <xf numFmtId="0" fontId="15" fillId="0" borderId="0" xfId="0" applyFont="1" applyAlignment="1">
      <alignment horizontal="right" vertical="center"/>
    </xf>
    <xf numFmtId="170" fontId="3" fillId="5" borderId="3" xfId="1" applyNumberFormat="1" applyFont="1" applyFill="1" applyBorder="1" applyAlignment="1">
      <alignment horizontal="center" vertical="center" wrapText="1"/>
    </xf>
    <xf numFmtId="170" fontId="3" fillId="0" borderId="6" xfId="1" applyNumberFormat="1" applyFont="1" applyFill="1" applyBorder="1" applyAlignment="1">
      <alignment horizontal="center" vertical="center" wrapText="1"/>
    </xf>
    <xf numFmtId="3" fontId="9" fillId="3" borderId="52" xfId="1" applyNumberFormat="1" applyFont="1" applyFill="1" applyBorder="1" applyAlignment="1">
      <alignment horizontal="center" vertical="center" wrapText="1"/>
    </xf>
    <xf numFmtId="170" fontId="3" fillId="5" borderId="53" xfId="1" applyNumberFormat="1" applyFont="1" applyFill="1" applyBorder="1" applyAlignment="1">
      <alignment horizontal="center" vertical="center" wrapText="1"/>
    </xf>
    <xf numFmtId="170" fontId="3" fillId="5" borderId="14" xfId="1" applyNumberFormat="1" applyFont="1" applyFill="1" applyBorder="1" applyAlignment="1">
      <alignment horizontal="center" vertical="center" wrapText="1"/>
    </xf>
    <xf numFmtId="9" fontId="3" fillId="5" borderId="49" xfId="2" applyFont="1" applyFill="1" applyBorder="1" applyAlignment="1">
      <alignment horizontal="center" vertical="center" wrapText="1"/>
    </xf>
    <xf numFmtId="170" fontId="3" fillId="5" borderId="49" xfId="1" applyNumberFormat="1" applyFont="1" applyFill="1" applyBorder="1" applyAlignment="1">
      <alignment horizontal="center" vertical="center"/>
    </xf>
    <xf numFmtId="9" fontId="3" fillId="5" borderId="49" xfId="2" applyNumberFormat="1" applyFont="1" applyFill="1" applyBorder="1" applyAlignment="1">
      <alignment horizontal="center" vertical="center"/>
    </xf>
    <xf numFmtId="49" fontId="3" fillId="3" borderId="52" xfId="1" applyNumberFormat="1" applyFont="1" applyFill="1" applyBorder="1" applyAlignment="1">
      <alignment horizontal="center" vertical="center"/>
    </xf>
    <xf numFmtId="170" fontId="3" fillId="0" borderId="53" xfId="1" applyNumberFormat="1" applyFont="1" applyFill="1" applyBorder="1" applyAlignment="1">
      <alignment horizontal="center" vertical="center" wrapText="1"/>
    </xf>
    <xf numFmtId="171" fontId="3" fillId="0" borderId="3" xfId="1" applyNumberFormat="1" applyFont="1" applyFill="1" applyBorder="1" applyAlignment="1">
      <alignment horizontal="center" vertical="center"/>
    </xf>
    <xf numFmtId="171" fontId="3" fillId="0" borderId="0" xfId="0" applyNumberFormat="1" applyFont="1" applyFill="1" applyAlignment="1" applyProtection="1">
      <alignment horizontal="right" vertical="center"/>
    </xf>
    <xf numFmtId="171" fontId="3" fillId="0" borderId="4" xfId="1" applyNumberFormat="1" applyFont="1" applyFill="1" applyBorder="1" applyAlignment="1">
      <alignment horizontal="centerContinuous" vertical="center"/>
    </xf>
    <xf numFmtId="171" fontId="3" fillId="0" borderId="5" xfId="1" applyNumberFormat="1" applyFont="1" applyFill="1" applyBorder="1" applyAlignment="1">
      <alignment horizontal="centerContinuous" vertical="center"/>
    </xf>
    <xf numFmtId="171" fontId="3" fillId="0" borderId="6" xfId="1" applyNumberFormat="1" applyFont="1" applyFill="1" applyBorder="1" applyAlignment="1">
      <alignment horizontal="centerContinuous" vertical="center"/>
    </xf>
    <xf numFmtId="165" fontId="3" fillId="5" borderId="3" xfId="0" applyNumberFormat="1" applyFont="1" applyFill="1" applyBorder="1" applyAlignment="1" applyProtection="1">
      <alignment horizontal="right" vertical="center" wrapText="1"/>
      <protection locked="0"/>
    </xf>
    <xf numFmtId="10" fontId="3" fillId="5" borderId="3" xfId="2" applyNumberFormat="1" applyFont="1" applyFill="1" applyBorder="1" applyAlignment="1">
      <alignment horizontal="center" vertical="center"/>
    </xf>
    <xf numFmtId="10" fontId="3" fillId="5" borderId="3" xfId="2" applyNumberFormat="1" applyFont="1" applyFill="1" applyBorder="1" applyAlignment="1" applyProtection="1">
      <alignment horizontal="center" vertical="center"/>
    </xf>
    <xf numFmtId="14" fontId="3" fillId="5" borderId="3" xfId="0" applyNumberFormat="1" applyFont="1" applyFill="1" applyBorder="1" applyAlignment="1" applyProtection="1">
      <alignment horizontal="center" vertical="center" wrapText="1"/>
      <protection locked="0"/>
    </xf>
    <xf numFmtId="0" fontId="19" fillId="2" borderId="15" xfId="3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 applyProtection="1">
      <alignment horizontal="right" vertical="center"/>
      <protection locked="0"/>
    </xf>
    <xf numFmtId="0" fontId="29" fillId="9" borderId="0" xfId="4" quotePrefix="1" applyNumberFormat="1" applyFont="1" applyFill="1" applyAlignment="1" applyProtection="1">
      <alignment horizontal="left" vertical="center"/>
      <protection locked="0"/>
    </xf>
    <xf numFmtId="0" fontId="16" fillId="9" borderId="0" xfId="4" applyNumberFormat="1" applyFont="1" applyFill="1" applyAlignment="1" applyProtection="1">
      <alignment vertical="center"/>
      <protection locked="0"/>
    </xf>
    <xf numFmtId="0" fontId="31" fillId="9" borderId="0" xfId="0" applyNumberFormat="1" applyFont="1" applyFill="1" applyAlignment="1">
      <alignment vertical="center"/>
    </xf>
    <xf numFmtId="0" fontId="29" fillId="9" borderId="0" xfId="4" quotePrefix="1" applyNumberFormat="1" applyFont="1" applyFill="1" applyAlignment="1" applyProtection="1">
      <alignment horizontal="left"/>
      <protection locked="0"/>
    </xf>
    <xf numFmtId="0" fontId="16" fillId="9" borderId="0" xfId="4" applyNumberFormat="1" applyFont="1" applyFill="1" applyAlignment="1" applyProtection="1">
      <alignment vertical="top"/>
      <protection locked="0"/>
    </xf>
    <xf numFmtId="0" fontId="15" fillId="9" borderId="0" xfId="4" applyNumberFormat="1" applyFont="1" applyFill="1" applyAlignment="1" applyProtection="1">
      <alignment horizontal="left" vertical="top"/>
      <protection locked="0"/>
    </xf>
    <xf numFmtId="170" fontId="5" fillId="0" borderId="49" xfId="1" applyNumberFormat="1" applyFont="1" applyFill="1" applyBorder="1" applyAlignment="1">
      <alignment horizontal="center" vertical="center"/>
    </xf>
    <xf numFmtId="9" fontId="3" fillId="0" borderId="49" xfId="2" applyFont="1" applyFill="1" applyBorder="1" applyAlignment="1">
      <alignment horizontal="center" vertical="center" wrapText="1"/>
    </xf>
    <xf numFmtId="0" fontId="4" fillId="2" borderId="54" xfId="1" applyNumberFormat="1" applyFont="1" applyFill="1" applyBorder="1" applyAlignment="1">
      <alignment horizontal="center" vertical="center" wrapText="1"/>
    </xf>
    <xf numFmtId="0" fontId="4" fillId="2" borderId="3" xfId="1" applyNumberFormat="1" applyFont="1" applyFill="1" applyBorder="1" applyAlignment="1">
      <alignment horizontal="center" vertical="center" wrapText="1"/>
    </xf>
    <xf numFmtId="0" fontId="4" fillId="2" borderId="55" xfId="1" applyNumberFormat="1" applyFont="1" applyFill="1" applyBorder="1" applyAlignment="1">
      <alignment horizontal="center" vertical="center"/>
    </xf>
    <xf numFmtId="170" fontId="3" fillId="9" borderId="3" xfId="1" applyNumberFormat="1" applyFont="1" applyFill="1" applyBorder="1" applyAlignment="1">
      <alignment horizontal="center" vertical="center" wrapText="1"/>
    </xf>
    <xf numFmtId="9" fontId="3" fillId="9" borderId="3" xfId="1" applyNumberFormat="1" applyFont="1" applyFill="1" applyBorder="1" applyAlignment="1">
      <alignment horizontal="center" vertical="center" wrapText="1"/>
    </xf>
    <xf numFmtId="165" fontId="5" fillId="3" borderId="0" xfId="0" applyNumberFormat="1" applyFont="1" applyFill="1" applyAlignment="1" applyProtection="1">
      <alignment vertical="center"/>
      <protection locked="0"/>
    </xf>
    <xf numFmtId="165" fontId="5" fillId="3" borderId="0" xfId="0" applyNumberFormat="1" applyFont="1" applyFill="1" applyAlignment="1" applyProtection="1">
      <alignment horizontal="left" vertical="center"/>
      <protection locked="0"/>
    </xf>
    <xf numFmtId="165" fontId="3" fillId="3" borderId="3" xfId="0" applyNumberFormat="1" applyFont="1" applyFill="1" applyBorder="1" applyAlignment="1" applyProtection="1">
      <alignment horizontal="center" vertical="center" wrapText="1"/>
      <protection locked="0"/>
    </xf>
    <xf numFmtId="0" fontId="29" fillId="3" borderId="0" xfId="4" quotePrefix="1" applyNumberFormat="1" applyFont="1" applyFill="1" applyAlignment="1" applyProtection="1">
      <alignment horizontal="left" vertical="center"/>
      <protection locked="0"/>
    </xf>
    <xf numFmtId="0" fontId="32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0" fontId="32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0" fontId="5" fillId="0" borderId="3" xfId="1" applyNumberFormat="1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5" fillId="9" borderId="0" xfId="0" applyNumberFormat="1" applyFont="1" applyFill="1" applyAlignment="1">
      <alignment vertical="center"/>
    </xf>
    <xf numFmtId="0" fontId="14" fillId="0" borderId="0" xfId="0" applyFont="1" applyAlignment="1">
      <alignment vertical="center"/>
    </xf>
    <xf numFmtId="165" fontId="14" fillId="0" borderId="0" xfId="0" applyNumberFormat="1" applyFont="1" applyAlignment="1">
      <alignment vertical="center"/>
    </xf>
    <xf numFmtId="0" fontId="4" fillId="2" borderId="42" xfId="1" applyNumberFormat="1" applyFont="1" applyFill="1" applyBorder="1" applyAlignment="1">
      <alignment horizontal="center" vertical="center" wrapText="1"/>
    </xf>
    <xf numFmtId="0" fontId="4" fillId="2" borderId="34" xfId="0" applyFont="1" applyFill="1" applyBorder="1" applyAlignment="1" applyProtection="1">
      <alignment horizontal="centerContinuous" vertical="center"/>
      <protection locked="0"/>
    </xf>
    <xf numFmtId="3" fontId="3" fillId="5" borderId="3" xfId="1" applyNumberFormat="1" applyFont="1" applyFill="1" applyBorder="1" applyAlignment="1">
      <alignment horizontal="center" vertical="center" wrapText="1"/>
    </xf>
    <xf numFmtId="10" fontId="3" fillId="5" borderId="3" xfId="1" applyNumberFormat="1" applyFont="1" applyFill="1" applyBorder="1" applyAlignment="1">
      <alignment horizontal="center" vertical="center" wrapText="1"/>
    </xf>
    <xf numFmtId="0" fontId="19" fillId="2" borderId="16" xfId="3" applyFont="1" applyFill="1" applyBorder="1" applyAlignment="1">
      <alignment horizontal="center" vertical="center" wrapText="1"/>
    </xf>
    <xf numFmtId="3" fontId="34" fillId="0" borderId="3" xfId="1" applyNumberFormat="1" applyFont="1" applyFill="1" applyBorder="1" applyAlignment="1">
      <alignment horizontal="center" vertical="center" wrapText="1"/>
    </xf>
    <xf numFmtId="170" fontId="18" fillId="5" borderId="3" xfId="0" applyNumberFormat="1" applyFont="1" applyFill="1" applyBorder="1" applyAlignment="1">
      <alignment horizontal="center" vertical="center"/>
    </xf>
    <xf numFmtId="1" fontId="18" fillId="5" borderId="3" xfId="1" applyNumberFormat="1" applyFont="1" applyFill="1" applyBorder="1" applyAlignment="1">
      <alignment horizontal="center" vertical="center"/>
    </xf>
    <xf numFmtId="9" fontId="18" fillId="5" borderId="3" xfId="2" applyFont="1" applyFill="1" applyBorder="1" applyAlignment="1">
      <alignment horizontal="center" vertical="center"/>
    </xf>
    <xf numFmtId="165" fontId="18" fillId="4" borderId="0" xfId="0" applyNumberFormat="1" applyFont="1" applyFill="1" applyAlignment="1" applyProtection="1">
      <alignment horizontal="right" vertical="center"/>
      <protection locked="0"/>
    </xf>
    <xf numFmtId="170" fontId="18" fillId="4" borderId="3" xfId="5" applyNumberFormat="1" applyFont="1" applyFill="1" applyBorder="1" applyAlignment="1">
      <alignment horizontal="center" vertical="center"/>
    </xf>
    <xf numFmtId="1" fontId="18" fillId="4" borderId="3" xfId="1" applyNumberFormat="1" applyFont="1" applyFill="1" applyBorder="1" applyAlignment="1">
      <alignment horizontal="center" vertical="center"/>
    </xf>
    <xf numFmtId="9" fontId="18" fillId="4" borderId="3" xfId="2" applyFont="1" applyFill="1" applyBorder="1" applyAlignment="1">
      <alignment horizontal="center" vertical="center"/>
    </xf>
    <xf numFmtId="0" fontId="35" fillId="0" borderId="0" xfId="0" applyFont="1" applyAlignment="1" applyProtection="1">
      <alignment vertical="center"/>
      <protection locked="0"/>
    </xf>
    <xf numFmtId="170" fontId="34" fillId="5" borderId="9" xfId="1" applyNumberFormat="1" applyFont="1" applyFill="1" applyBorder="1" applyAlignment="1">
      <alignment vertical="center"/>
    </xf>
    <xf numFmtId="1" fontId="34" fillId="5" borderId="0" xfId="1" applyNumberFormat="1" applyFont="1" applyFill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7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0" fillId="0" borderId="3" xfId="0" applyFont="1" applyBorder="1" applyAlignment="1">
      <alignment vertical="center"/>
    </xf>
    <xf numFmtId="0" fontId="30" fillId="0" borderId="3" xfId="0" applyFont="1" applyFill="1" applyBorder="1" applyAlignment="1">
      <alignment vertical="center"/>
    </xf>
    <xf numFmtId="0" fontId="30" fillId="0" borderId="3" xfId="0" quotePrefix="1" applyFont="1" applyFill="1" applyBorder="1" applyAlignment="1">
      <alignment vertical="center"/>
    </xf>
    <xf numFmtId="0" fontId="0" fillId="0" borderId="3" xfId="0" quotePrefix="1" applyBorder="1" applyAlignment="1">
      <alignment vertical="center"/>
    </xf>
    <xf numFmtId="0" fontId="14" fillId="0" borderId="0" xfId="0" applyNumberFormat="1" applyFont="1" applyAlignment="1">
      <alignment horizontal="left" vertical="center" wrapText="1"/>
    </xf>
    <xf numFmtId="0" fontId="16" fillId="9" borderId="0" xfId="4" applyNumberFormat="1" applyFont="1" applyFill="1" applyAlignment="1" applyProtection="1">
      <alignment horizontal="left" vertical="center" wrapText="1"/>
      <protection locked="0"/>
    </xf>
    <xf numFmtId="0" fontId="3" fillId="0" borderId="5" xfId="1" applyNumberFormat="1" applyFont="1" applyFill="1" applyBorder="1" applyAlignment="1">
      <alignment horizontal="center" vertical="center"/>
    </xf>
    <xf numFmtId="0" fontId="3" fillId="0" borderId="51" xfId="1" applyNumberFormat="1" applyFont="1" applyFill="1" applyBorder="1" applyAlignment="1">
      <alignment horizontal="center" vertical="center"/>
    </xf>
    <xf numFmtId="173" fontId="3" fillId="0" borderId="5" xfId="1" applyNumberFormat="1" applyFont="1" applyFill="1" applyBorder="1" applyAlignment="1">
      <alignment horizontal="center" vertical="center"/>
    </xf>
    <xf numFmtId="173" fontId="3" fillId="0" borderId="51" xfId="1" applyNumberFormat="1" applyFont="1" applyFill="1" applyBorder="1" applyAlignment="1">
      <alignment horizontal="center" vertical="center"/>
    </xf>
    <xf numFmtId="0" fontId="3" fillId="0" borderId="4" xfId="1" applyNumberFormat="1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 wrapText="1"/>
    </xf>
    <xf numFmtId="169" fontId="3" fillId="0" borderId="0" xfId="0" applyNumberFormat="1" applyFont="1" applyAlignment="1">
      <alignment horizontal="center" vertical="center" wrapText="1"/>
    </xf>
    <xf numFmtId="165" fontId="3" fillId="0" borderId="5" xfId="1" applyFont="1" applyFill="1" applyBorder="1" applyAlignment="1">
      <alignment horizontal="center" vertical="center"/>
    </xf>
    <xf numFmtId="0" fontId="3" fillId="0" borderId="4" xfId="1" quotePrefix="1" applyNumberFormat="1" applyFont="1" applyFill="1" applyBorder="1" applyAlignment="1">
      <alignment horizontal="center" vertical="center"/>
    </xf>
    <xf numFmtId="49" fontId="3" fillId="0" borderId="5" xfId="1" applyNumberFormat="1" applyFont="1" applyFill="1" applyBorder="1" applyAlignment="1">
      <alignment horizontal="center" vertical="center"/>
    </xf>
    <xf numFmtId="49" fontId="3" fillId="0" borderId="51" xfId="1" applyNumberFormat="1" applyFont="1" applyFill="1" applyBorder="1" applyAlignment="1">
      <alignment horizontal="center" vertical="center"/>
    </xf>
    <xf numFmtId="165" fontId="14" fillId="5" borderId="4" xfId="0" applyNumberFormat="1" applyFont="1" applyFill="1" applyBorder="1" applyAlignment="1">
      <alignment horizontal="left" vertical="top" wrapText="1"/>
    </xf>
    <xf numFmtId="165" fontId="14" fillId="5" borderId="5" xfId="0" applyNumberFormat="1" applyFont="1" applyFill="1" applyBorder="1" applyAlignment="1">
      <alignment horizontal="left" vertical="top" wrapText="1"/>
    </xf>
    <xf numFmtId="165" fontId="14" fillId="5" borderId="6" xfId="0" applyNumberFormat="1" applyFont="1" applyFill="1" applyBorder="1" applyAlignment="1">
      <alignment horizontal="left" vertical="top" wrapText="1"/>
    </xf>
    <xf numFmtId="0" fontId="3" fillId="3" borderId="5" xfId="1" applyNumberFormat="1" applyFont="1" applyFill="1" applyBorder="1" applyAlignment="1">
      <alignment horizontal="center" vertical="center"/>
    </xf>
    <xf numFmtId="0" fontId="3" fillId="3" borderId="51" xfId="1" applyNumberFormat="1" applyFont="1" applyFill="1" applyBorder="1" applyAlignment="1">
      <alignment horizontal="center" vertical="center"/>
    </xf>
    <xf numFmtId="165" fontId="23" fillId="2" borderId="19" xfId="1" applyFont="1" applyFill="1" applyBorder="1" applyAlignment="1">
      <alignment horizontal="center" vertical="center" wrapText="1"/>
    </xf>
    <xf numFmtId="0" fontId="23" fillId="2" borderId="20" xfId="1" applyNumberFormat="1" applyFont="1" applyFill="1" applyBorder="1" applyAlignment="1">
      <alignment horizontal="center" vertical="center" wrapText="1"/>
    </xf>
    <xf numFmtId="0" fontId="23" fillId="2" borderId="21" xfId="1" applyNumberFormat="1" applyFont="1" applyFill="1" applyBorder="1" applyAlignment="1">
      <alignment horizontal="center" vertical="center" wrapText="1"/>
    </xf>
    <xf numFmtId="170" fontId="4" fillId="2" borderId="4" xfId="3" applyNumberFormat="1" applyFont="1" applyFill="1" applyBorder="1" applyAlignment="1">
      <alignment horizontal="center" vertical="center"/>
    </xf>
    <xf numFmtId="170" fontId="4" fillId="2" borderId="5" xfId="3" applyNumberFormat="1" applyFont="1" applyFill="1" applyBorder="1" applyAlignment="1">
      <alignment horizontal="center" vertical="center"/>
    </xf>
    <xf numFmtId="170" fontId="4" fillId="2" borderId="51" xfId="3" applyNumberFormat="1" applyFont="1" applyFill="1" applyBorder="1" applyAlignment="1">
      <alignment horizontal="center" vertical="center"/>
    </xf>
    <xf numFmtId="170" fontId="5" fillId="0" borderId="4" xfId="1" applyNumberFormat="1" applyFont="1" applyFill="1" applyBorder="1" applyAlignment="1">
      <alignment horizontal="center" vertical="center"/>
    </xf>
    <xf numFmtId="170" fontId="5" fillId="0" borderId="5" xfId="1" applyNumberFormat="1" applyFont="1" applyFill="1" applyBorder="1" applyAlignment="1">
      <alignment horizontal="center" vertical="center"/>
    </xf>
    <xf numFmtId="170" fontId="5" fillId="0" borderId="51" xfId="1" applyNumberFormat="1" applyFont="1" applyFill="1" applyBorder="1" applyAlignment="1">
      <alignment horizontal="center" vertical="center"/>
    </xf>
    <xf numFmtId="171" fontId="3" fillId="0" borderId="0" xfId="0" applyNumberFormat="1" applyFont="1" applyAlignment="1">
      <alignment horizontal="center" vertical="center"/>
    </xf>
    <xf numFmtId="171" fontId="25" fillId="6" borderId="5" xfId="1" applyNumberFormat="1" applyFont="1" applyFill="1" applyBorder="1" applyAlignment="1">
      <alignment horizontal="center" vertical="center"/>
    </xf>
    <xf numFmtId="171" fontId="25" fillId="6" borderId="51" xfId="1" applyNumberFormat="1" applyFont="1" applyFill="1" applyBorder="1" applyAlignment="1">
      <alignment horizontal="center" vertical="center"/>
    </xf>
    <xf numFmtId="165" fontId="5" fillId="5" borderId="6" xfId="3" applyNumberFormat="1" applyFont="1" applyFill="1" applyBorder="1" applyAlignment="1">
      <alignment horizontal="center" vertical="center" wrapText="1"/>
    </xf>
    <xf numFmtId="165" fontId="5" fillId="5" borderId="3" xfId="3" applyNumberFormat="1" applyFont="1" applyFill="1" applyBorder="1" applyAlignment="1">
      <alignment horizontal="center" vertical="center" wrapText="1"/>
    </xf>
    <xf numFmtId="165" fontId="5" fillId="5" borderId="50" xfId="3" applyNumberFormat="1" applyFont="1" applyFill="1" applyBorder="1" applyAlignment="1">
      <alignment horizontal="center" vertical="center" wrapText="1"/>
    </xf>
    <xf numFmtId="170" fontId="5" fillId="0" borderId="6" xfId="1" applyNumberFormat="1" applyFont="1" applyFill="1" applyBorder="1" applyAlignment="1">
      <alignment horizontal="center" vertical="center"/>
    </xf>
    <xf numFmtId="171" fontId="25" fillId="5" borderId="5" xfId="1" applyNumberFormat="1" applyFont="1" applyFill="1" applyBorder="1" applyAlignment="1">
      <alignment horizontal="center" vertical="center"/>
    </xf>
    <xf numFmtId="171" fontId="25" fillId="5" borderId="51" xfId="1" applyNumberFormat="1" applyFont="1" applyFill="1" applyBorder="1" applyAlignment="1">
      <alignment horizontal="center" vertical="center"/>
    </xf>
    <xf numFmtId="171" fontId="5" fillId="0" borderId="5" xfId="0" applyNumberFormat="1" applyFont="1" applyBorder="1" applyAlignment="1">
      <alignment horizontal="center" vertical="center"/>
    </xf>
    <xf numFmtId="171" fontId="5" fillId="0" borderId="51" xfId="0" applyNumberFormat="1" applyFont="1" applyBorder="1" applyAlignment="1">
      <alignment horizontal="center" vertical="center"/>
    </xf>
    <xf numFmtId="171" fontId="12" fillId="4" borderId="5" xfId="1" applyNumberFormat="1" applyFont="1" applyFill="1" applyBorder="1" applyAlignment="1">
      <alignment horizontal="center" vertical="center"/>
    </xf>
    <xf numFmtId="171" fontId="12" fillId="4" borderId="51" xfId="1" applyNumberFormat="1" applyFont="1" applyFill="1" applyBorder="1" applyAlignment="1">
      <alignment horizontal="center" vertical="center"/>
    </xf>
    <xf numFmtId="165" fontId="3" fillId="0" borderId="4" xfId="1" applyFont="1" applyFill="1" applyBorder="1" applyAlignment="1">
      <alignment horizontal="center" vertical="center"/>
    </xf>
    <xf numFmtId="0" fontId="3" fillId="3" borderId="4" xfId="1" applyNumberFormat="1" applyFont="1" applyFill="1" applyBorder="1" applyAlignment="1">
      <alignment horizontal="center" vertical="center"/>
    </xf>
    <xf numFmtId="165" fontId="5" fillId="0" borderId="19" xfId="1" applyFont="1" applyFill="1" applyBorder="1" applyAlignment="1" applyProtection="1">
      <alignment horizontal="left" vertical="center"/>
      <protection locked="0"/>
    </xf>
    <xf numFmtId="165" fontId="5" fillId="0" borderId="34" xfId="1" applyFont="1" applyFill="1" applyBorder="1" applyAlignment="1" applyProtection="1">
      <alignment horizontal="left" vertical="center"/>
      <protection locked="0"/>
    </xf>
    <xf numFmtId="165" fontId="5" fillId="0" borderId="35" xfId="1" applyFont="1" applyFill="1" applyBorder="1" applyAlignment="1" applyProtection="1">
      <alignment horizontal="center" vertical="center"/>
      <protection locked="0"/>
    </xf>
    <xf numFmtId="165" fontId="5" fillId="0" borderId="20" xfId="1" applyFont="1" applyFill="1" applyBorder="1" applyAlignment="1" applyProtection="1">
      <alignment horizontal="center" vertical="center"/>
      <protection locked="0"/>
    </xf>
    <xf numFmtId="165" fontId="5" fillId="0" borderId="21" xfId="1" applyFont="1" applyFill="1" applyBorder="1" applyAlignment="1" applyProtection="1">
      <alignment horizontal="center" vertical="center"/>
      <protection locked="0"/>
    </xf>
    <xf numFmtId="165" fontId="5" fillId="0" borderId="30" xfId="1" applyFont="1" applyFill="1" applyBorder="1" applyAlignment="1" applyProtection="1">
      <alignment horizontal="left" vertical="center"/>
      <protection locked="0"/>
    </xf>
    <xf numFmtId="165" fontId="5" fillId="0" borderId="6" xfId="1" applyFont="1" applyFill="1" applyBorder="1" applyAlignment="1" applyProtection="1">
      <alignment horizontal="left" vertical="center"/>
      <protection locked="0"/>
    </xf>
    <xf numFmtId="49" fontId="5" fillId="0" borderId="4" xfId="1" quotePrefix="1" applyNumberFormat="1" applyFont="1" applyFill="1" applyBorder="1" applyAlignment="1" applyProtection="1">
      <alignment horizontal="center" vertical="center"/>
      <protection locked="0"/>
    </xf>
    <xf numFmtId="49" fontId="5" fillId="0" borderId="5" xfId="1" quotePrefix="1" applyNumberFormat="1" applyFont="1" applyFill="1" applyBorder="1" applyAlignment="1" applyProtection="1">
      <alignment horizontal="center" vertical="center"/>
      <protection locked="0"/>
    </xf>
    <xf numFmtId="49" fontId="5" fillId="0" borderId="44" xfId="1" quotePrefix="1" applyNumberFormat="1" applyFont="1" applyFill="1" applyBorder="1" applyAlignment="1" applyProtection="1">
      <alignment horizontal="center" vertical="center"/>
      <protection locked="0"/>
    </xf>
    <xf numFmtId="165" fontId="5" fillId="0" borderId="45" xfId="1" applyFont="1" applyFill="1" applyBorder="1" applyAlignment="1" applyProtection="1">
      <alignment horizontal="left" vertical="center"/>
      <protection locked="0"/>
    </xf>
    <xf numFmtId="165" fontId="5" fillId="0" borderId="24" xfId="1" applyFont="1" applyFill="1" applyBorder="1" applyAlignment="1" applyProtection="1">
      <alignment horizontal="left" vertical="center"/>
      <protection locked="0"/>
    </xf>
    <xf numFmtId="167" fontId="5" fillId="0" borderId="46" xfId="1" quotePrefix="1" applyNumberFormat="1" applyFont="1" applyFill="1" applyBorder="1" applyAlignment="1" applyProtection="1">
      <alignment horizontal="center" vertical="center"/>
      <protection locked="0"/>
    </xf>
    <xf numFmtId="167" fontId="5" fillId="0" borderId="43" xfId="1" quotePrefix="1" applyNumberFormat="1" applyFont="1" applyFill="1" applyBorder="1" applyAlignment="1" applyProtection="1">
      <alignment horizontal="center" vertical="center"/>
      <protection locked="0"/>
    </xf>
    <xf numFmtId="167" fontId="5" fillId="0" borderId="47" xfId="1" quotePrefix="1" applyNumberFormat="1" applyFont="1" applyFill="1" applyBorder="1" applyAlignment="1" applyProtection="1">
      <alignment horizontal="center" vertical="center"/>
      <protection locked="0"/>
    </xf>
    <xf numFmtId="0" fontId="4" fillId="2" borderId="19" xfId="1" applyNumberFormat="1" applyFont="1" applyFill="1" applyBorder="1" applyAlignment="1">
      <alignment horizontal="center" vertical="center" wrapText="1"/>
    </xf>
    <xf numFmtId="0" fontId="4" fillId="2" borderId="20" xfId="1" applyNumberFormat="1" applyFont="1" applyFill="1" applyBorder="1" applyAlignment="1">
      <alignment horizontal="center" vertical="center"/>
    </xf>
    <xf numFmtId="0" fontId="4" fillId="2" borderId="21" xfId="1" applyNumberFormat="1" applyFont="1" applyFill="1" applyBorder="1" applyAlignment="1">
      <alignment horizontal="center" vertical="center"/>
    </xf>
    <xf numFmtId="171" fontId="25" fillId="5" borderId="4" xfId="1" applyNumberFormat="1" applyFont="1" applyFill="1" applyBorder="1" applyAlignment="1">
      <alignment horizontal="center" vertical="center"/>
    </xf>
    <xf numFmtId="171" fontId="5" fillId="0" borderId="4" xfId="0" applyNumberFormat="1" applyFont="1" applyBorder="1" applyAlignment="1">
      <alignment horizontal="center" vertical="center"/>
    </xf>
    <xf numFmtId="0" fontId="4" fillId="2" borderId="25" xfId="1" applyNumberFormat="1" applyFont="1" applyFill="1" applyBorder="1" applyAlignment="1">
      <alignment horizontal="center" vertical="center" wrapText="1"/>
    </xf>
    <xf numFmtId="0" fontId="4" fillId="2" borderId="28" xfId="1" applyNumberFormat="1" applyFont="1" applyFill="1" applyBorder="1" applyAlignment="1">
      <alignment horizontal="center" vertical="center" wrapText="1"/>
    </xf>
    <xf numFmtId="0" fontId="4" fillId="2" borderId="26" xfId="1" applyNumberFormat="1" applyFont="1" applyFill="1" applyBorder="1" applyAlignment="1">
      <alignment horizontal="center" vertical="center" wrapText="1"/>
    </xf>
    <xf numFmtId="0" fontId="4" fillId="2" borderId="11" xfId="1" applyNumberFormat="1" applyFont="1" applyFill="1" applyBorder="1" applyAlignment="1">
      <alignment horizontal="center" vertical="center" wrapText="1"/>
    </xf>
    <xf numFmtId="0" fontId="4" fillId="2" borderId="27" xfId="1" applyNumberFormat="1" applyFont="1" applyFill="1" applyBorder="1" applyAlignment="1">
      <alignment horizontal="center" vertical="center" wrapText="1"/>
    </xf>
    <xf numFmtId="0" fontId="4" fillId="2" borderId="29" xfId="1" applyNumberFormat="1" applyFont="1" applyFill="1" applyBorder="1" applyAlignment="1">
      <alignment horizontal="center" vertical="center" wrapText="1"/>
    </xf>
    <xf numFmtId="171" fontId="25" fillId="6" borderId="4" xfId="1" applyNumberFormat="1" applyFont="1" applyFill="1" applyBorder="1" applyAlignment="1">
      <alignment horizontal="center" vertical="center"/>
    </xf>
    <xf numFmtId="171" fontId="12" fillId="4" borderId="4" xfId="1" applyNumberFormat="1" applyFont="1" applyFill="1" applyBorder="1" applyAlignment="1">
      <alignment horizontal="center" vertical="center"/>
    </xf>
    <xf numFmtId="165" fontId="5" fillId="5" borderId="6" xfId="3" applyNumberFormat="1" applyFont="1" applyFill="1" applyBorder="1" applyAlignment="1">
      <alignment horizontal="center" vertical="center"/>
    </xf>
    <xf numFmtId="165" fontId="5" fillId="5" borderId="3" xfId="3" applyNumberFormat="1" applyFont="1" applyFill="1" applyBorder="1" applyAlignment="1">
      <alignment horizontal="center" vertical="center"/>
    </xf>
    <xf numFmtId="165" fontId="5" fillId="5" borderId="50" xfId="3" applyNumberFormat="1" applyFont="1" applyFill="1" applyBorder="1" applyAlignment="1">
      <alignment horizontal="center" vertical="center"/>
    </xf>
    <xf numFmtId="171" fontId="5" fillId="5" borderId="4" xfId="1" applyNumberFormat="1" applyFont="1" applyFill="1" applyBorder="1" applyAlignment="1">
      <alignment horizontal="center" vertical="center"/>
    </xf>
    <xf numFmtId="171" fontId="5" fillId="5" borderId="5" xfId="1" applyNumberFormat="1" applyFont="1" applyFill="1" applyBorder="1" applyAlignment="1">
      <alignment horizontal="center" vertical="center"/>
    </xf>
    <xf numFmtId="171" fontId="5" fillId="5" borderId="51" xfId="1" applyNumberFormat="1" applyFont="1" applyFill="1" applyBorder="1" applyAlignment="1">
      <alignment horizontal="center" vertical="center"/>
    </xf>
    <xf numFmtId="173" fontId="3" fillId="0" borderId="4" xfId="1" quotePrefix="1" applyNumberFormat="1" applyFont="1" applyFill="1" applyBorder="1" applyAlignment="1">
      <alignment horizontal="center" vertical="center"/>
    </xf>
    <xf numFmtId="173" fontId="3" fillId="0" borderId="4" xfId="1" applyNumberFormat="1" applyFont="1" applyFill="1" applyBorder="1" applyAlignment="1">
      <alignment horizontal="center" vertical="center"/>
    </xf>
    <xf numFmtId="0" fontId="15" fillId="0" borderId="4" xfId="1" applyNumberFormat="1" applyFont="1" applyFill="1" applyBorder="1" applyAlignment="1">
      <alignment vertical="center"/>
    </xf>
    <xf numFmtId="0" fontId="15" fillId="0" borderId="5" xfId="1" applyNumberFormat="1" applyFont="1" applyFill="1" applyBorder="1" applyAlignment="1">
      <alignment vertical="center"/>
    </xf>
    <xf numFmtId="0" fontId="15" fillId="0" borderId="6" xfId="1" applyNumberFormat="1" applyFont="1" applyFill="1" applyBorder="1" applyAlignment="1">
      <alignment vertical="center"/>
    </xf>
    <xf numFmtId="0" fontId="14" fillId="5" borderId="4" xfId="0" applyNumberFormat="1" applyFont="1" applyFill="1" applyBorder="1" applyAlignment="1">
      <alignment vertical="center" wrapText="1"/>
    </xf>
    <xf numFmtId="0" fontId="14" fillId="5" borderId="5" xfId="0" applyNumberFormat="1" applyFont="1" applyFill="1" applyBorder="1" applyAlignment="1">
      <alignment vertical="center" wrapText="1"/>
    </xf>
    <xf numFmtId="0" fontId="14" fillId="5" borderId="6" xfId="0" applyNumberFormat="1" applyFont="1" applyFill="1" applyBorder="1" applyAlignment="1">
      <alignment vertical="center" wrapText="1"/>
    </xf>
    <xf numFmtId="170" fontId="5" fillId="8" borderId="3" xfId="0" applyNumberFormat="1" applyFont="1" applyFill="1" applyBorder="1" applyAlignment="1">
      <alignment horizontal="center" vertical="center" wrapText="1"/>
    </xf>
  </cellXfs>
  <cellStyles count="8">
    <cellStyle name="Comma" xfId="1" builtinId="3"/>
    <cellStyle name="Currency" xfId="5" builtinId="4"/>
    <cellStyle name="Hyperlink" xfId="6" builtinId="8"/>
    <cellStyle name="Normal" xfId="0" builtinId="0"/>
    <cellStyle name="Normal 2" xfId="7"/>
    <cellStyle name="Normal 2 3" xfId="4"/>
    <cellStyle name="Normal 3" xfId="3"/>
    <cellStyle name="Percent" xfId="2" builtinId="5"/>
  </cellStyles>
  <dxfs count="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 patternType="solid">
          <bgColor rgb="FFFFCDCD"/>
        </patternFill>
      </fill>
    </dxf>
    <dxf>
      <font>
        <color rgb="FFC00000"/>
      </font>
      <fill>
        <patternFill patternType="solid">
          <fgColor indexed="64"/>
          <bgColor rgb="FFFFBDBD"/>
        </patternFill>
      </fill>
    </dxf>
    <dxf>
      <font>
        <color rgb="FFC00000"/>
      </font>
      <fill>
        <patternFill>
          <bgColor rgb="FFFFB3B3"/>
        </patternFill>
      </fill>
    </dxf>
    <dxf>
      <font>
        <color rgb="FFC00000"/>
      </font>
      <fill>
        <patternFill>
          <bgColor rgb="FFFFD1D1"/>
        </patternFill>
      </fill>
    </dxf>
    <dxf>
      <font>
        <color theme="6" tint="0.79998168889431442"/>
      </font>
      <fill>
        <patternFill>
          <bgColor theme="6" tint="0.79998168889431442"/>
        </patternFill>
      </fill>
    </dxf>
    <dxf>
      <font>
        <color theme="6" tint="0.79998168889431442"/>
      </font>
      <fill>
        <patternFill>
          <fgColor theme="6" tint="0.79998168889431442"/>
        </patternFill>
      </fill>
    </dxf>
    <dxf>
      <font>
        <color theme="6" tint="0.79998168889431442"/>
      </font>
      <fill>
        <patternFill>
          <bgColor theme="6" tint="0.79998168889431442"/>
        </patternFill>
      </fill>
    </dxf>
    <dxf>
      <font>
        <color theme="6" tint="0.79998168889431442"/>
      </font>
      <fill>
        <patternFill>
          <fgColor theme="6" tint="0.79998168889431442"/>
        </patternFill>
      </fill>
    </dxf>
    <dxf>
      <font>
        <color theme="6" tint="0.79998168889431442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DCD"/>
      <color rgb="FFFFBDBD"/>
      <color rgb="FFFFB3B3"/>
      <color rgb="FFFFD1D1"/>
      <color rgb="FFFFA3A3"/>
      <color rgb="FFFFC1C1"/>
      <color rgb="FF9811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Relationship Id="rId14" Type="http://schemas.openxmlformats.org/officeDocument/2006/relationships/customXml" Target="../customXml/item5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Relationship Id="rId4" Type="http://schemas.openxmlformats.org/officeDocument/2006/relationships/image" Target="../media/image5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8.emf"/><Relationship Id="rId2" Type="http://schemas.openxmlformats.org/officeDocument/2006/relationships/image" Target="../media/image7.emf"/><Relationship Id="rId1" Type="http://schemas.openxmlformats.org/officeDocument/2006/relationships/image" Target="../media/image6.emf"/><Relationship Id="rId4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1</xdr:row>
      <xdr:rowOff>47625</xdr:rowOff>
    </xdr:from>
    <xdr:to>
      <xdr:col>2</xdr:col>
      <xdr:colOff>1601811</xdr:colOff>
      <xdr:row>5</xdr:row>
      <xdr:rowOff>150050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228601"/>
          <a:ext cx="3583998" cy="9215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47625</xdr:colOff>
          <xdr:row>2</xdr:row>
          <xdr:rowOff>0</xdr:rowOff>
        </xdr:from>
        <xdr:to>
          <xdr:col>11</xdr:col>
          <xdr:colOff>962025</xdr:colOff>
          <xdr:row>3</xdr:row>
          <xdr:rowOff>9525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LOCAL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47625</xdr:colOff>
          <xdr:row>3</xdr:row>
          <xdr:rowOff>0</xdr:rowOff>
        </xdr:from>
        <xdr:to>
          <xdr:col>11</xdr:col>
          <xdr:colOff>962025</xdr:colOff>
          <xdr:row>4</xdr:row>
          <xdr:rowOff>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FOREIGN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38100</xdr:colOff>
          <xdr:row>1</xdr:row>
          <xdr:rowOff>161925</xdr:rowOff>
        </xdr:from>
        <xdr:to>
          <xdr:col>12</xdr:col>
          <xdr:colOff>1457325</xdr:colOff>
          <xdr:row>3</xdr:row>
          <xdr:rowOff>9525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PROCUREMENT BIDDING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38100</xdr:colOff>
          <xdr:row>2</xdr:row>
          <xdr:rowOff>161925</xdr:rowOff>
        </xdr:from>
        <xdr:to>
          <xdr:col>12</xdr:col>
          <xdr:colOff>1457325</xdr:colOff>
          <xdr:row>4</xdr:row>
          <xdr:rowOff>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CLOSED BIDDING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38100</xdr:colOff>
          <xdr:row>3</xdr:row>
          <xdr:rowOff>161925</xdr:rowOff>
        </xdr:from>
        <xdr:to>
          <xdr:col>12</xdr:col>
          <xdr:colOff>1457325</xdr:colOff>
          <xdr:row>4</xdr:row>
          <xdr:rowOff>190500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E-BIDDING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38100</xdr:colOff>
          <xdr:row>4</xdr:row>
          <xdr:rowOff>161925</xdr:rowOff>
        </xdr:from>
        <xdr:to>
          <xdr:col>12</xdr:col>
          <xdr:colOff>1457325</xdr:colOff>
          <xdr:row>6</xdr:row>
          <xdr:rowOff>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SINGLE SOURCING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38100</xdr:colOff>
          <xdr:row>5</xdr:row>
          <xdr:rowOff>180975</xdr:rowOff>
        </xdr:from>
        <xdr:to>
          <xdr:col>12</xdr:col>
          <xdr:colOff>1457325</xdr:colOff>
          <xdr:row>7</xdr:row>
          <xdr:rowOff>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DIRECT BU PURCHASE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38100</xdr:colOff>
          <xdr:row>1</xdr:row>
          <xdr:rowOff>161925</xdr:rowOff>
        </xdr:from>
        <xdr:to>
          <xdr:col>15</xdr:col>
          <xdr:colOff>276225</xdr:colOff>
          <xdr:row>3</xdr:row>
          <xdr:rowOff>9525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38100</xdr:colOff>
          <xdr:row>2</xdr:row>
          <xdr:rowOff>161925</xdr:rowOff>
        </xdr:from>
        <xdr:to>
          <xdr:col>15</xdr:col>
          <xdr:colOff>276225</xdr:colOff>
          <xdr:row>4</xdr:row>
          <xdr:rowOff>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BPO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38100</xdr:colOff>
          <xdr:row>3</xdr:row>
          <xdr:rowOff>161925</xdr:rowOff>
        </xdr:from>
        <xdr:to>
          <xdr:col>15</xdr:col>
          <xdr:colOff>276225</xdr:colOff>
          <xdr:row>4</xdr:row>
          <xdr:rowOff>190500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CONTRACT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38100</xdr:colOff>
          <xdr:row>4</xdr:row>
          <xdr:rowOff>161925</xdr:rowOff>
        </xdr:from>
        <xdr:to>
          <xdr:col>15</xdr:col>
          <xdr:colOff>276225</xdr:colOff>
          <xdr:row>6</xdr:row>
          <xdr:rowOff>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PMI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4</xdr:col>
          <xdr:colOff>95250</xdr:colOff>
          <xdr:row>7</xdr:row>
          <xdr:rowOff>38100</xdr:rowOff>
        </xdr:to>
        <xdr:pic>
          <xdr:nvPicPr>
            <xdr:cNvPr id="6" name="Picture 5"/>
            <xdr:cNvPicPr>
              <a:picLocks noChangeAspect="1" noChangeArrowheads="1"/>
              <a:extLst>
                <a:ext uri="{84589F7E-364E-4C9E-8A38-B11213B215E9}">
                  <a14:cameraTool cellRange="'Bid Tab (F&amp;B Ops and CatMan) 10'!$A$1:$C$7" spid="_x0000_s1192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0"/>
              <a:ext cx="4010025" cy="13716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0</xdr:row>
          <xdr:rowOff>0</xdr:rowOff>
        </xdr:from>
        <xdr:to>
          <xdr:col>16</xdr:col>
          <xdr:colOff>278946</xdr:colOff>
          <xdr:row>7</xdr:row>
          <xdr:rowOff>40821</xdr:rowOff>
        </xdr:to>
        <xdr:pic>
          <xdr:nvPicPr>
            <xdr:cNvPr id="17" name="Picture 16"/>
            <xdr:cNvPicPr>
              <a:picLocks noChangeAspect="1" noChangeArrowheads="1"/>
              <a:extLst>
                <a:ext uri="{84589F7E-364E-4C9E-8A38-B11213B215E9}">
                  <a14:cameraTool cellRange="'Bid Tab (F&amp;B Ops and CatMan) 10'!$Y$1:$Z$7" spid="_x0000_s11922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12258675" y="0"/>
              <a:ext cx="2422071" cy="1374321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17</xdr:col>
          <xdr:colOff>247650</xdr:colOff>
          <xdr:row>47</xdr:row>
          <xdr:rowOff>66675</xdr:rowOff>
        </xdr:to>
        <xdr:pic>
          <xdr:nvPicPr>
            <xdr:cNvPr id="28" name="Picture 27"/>
            <xdr:cNvPicPr>
              <a:picLocks noChangeAspect="1" noChangeArrowheads="1"/>
              <a:extLst>
                <a:ext uri="{84589F7E-364E-4C9E-8A38-B11213B215E9}">
                  <a14:cameraTool cellRange="'Bid Tab (F&amp;B Ops and CatMan) 10'!$C$67:$AN$81" spid="_x0000_s11923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0" y="6105525"/>
              <a:ext cx="15259050" cy="38766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</xdr:row>
          <xdr:rowOff>0</xdr:rowOff>
        </xdr:from>
        <xdr:to>
          <xdr:col>19</xdr:col>
          <xdr:colOff>107496</xdr:colOff>
          <xdr:row>7</xdr:row>
          <xdr:rowOff>40821</xdr:rowOff>
        </xdr:to>
        <xdr:pic>
          <xdr:nvPicPr>
            <xdr:cNvPr id="10" name="Picture 9"/>
            <xdr:cNvPicPr>
              <a:picLocks noChangeAspect="1" noChangeArrowheads="1"/>
              <a:extLst>
                <a:ext uri="{84589F7E-364E-4C9E-8A38-B11213B215E9}">
                  <a14:cameraTool cellRange="'Bid Tab (F&amp;B Ops and CatMan) 10'!$G$2:$P$7" spid="_x0000_s11924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3914775" y="190500"/>
              <a:ext cx="12423321" cy="1183821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omments" Target="../comments1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  <customProperties>
    <customPr name="Dynamics Worksheet 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>
    <pageSetUpPr fitToPage="1"/>
  </sheetPr>
  <dimension ref="A1:CQ128"/>
  <sheetViews>
    <sheetView showGridLines="0" tabSelected="1" view="pageBreakPreview" zoomScale="70" zoomScaleNormal="100" zoomScaleSheetLayoutView="70" workbookViewId="0">
      <selection activeCell="B9" sqref="B9:B10"/>
    </sheetView>
  </sheetViews>
  <sheetFormatPr defaultColWidth="9.140625" defaultRowHeight="14.25" outlineLevelRow="1" outlineLevelCol="1" x14ac:dyDescent="0.25"/>
  <cols>
    <col min="1" max="1" width="5.42578125" style="3" customWidth="1"/>
    <col min="2" max="2" width="25.28515625" style="3" customWidth="1"/>
    <col min="3" max="3" width="29.28515625" style="3" customWidth="1"/>
    <col min="4" max="5" width="15.5703125" style="3" customWidth="1"/>
    <col min="6" max="6" width="17" style="3" customWidth="1"/>
    <col min="7" max="7" width="18.5703125" style="3" customWidth="1"/>
    <col min="8" max="8" width="22.7109375" style="3" customWidth="1"/>
    <col min="9" max="9" width="16.5703125" style="3" customWidth="1"/>
    <col min="10" max="10" width="19.28515625" style="3" customWidth="1"/>
    <col min="11" max="11" width="16.7109375" style="3" customWidth="1"/>
    <col min="12" max="12" width="25.7109375" style="3" customWidth="1"/>
    <col min="13" max="13" width="22.42578125" style="37" customWidth="1"/>
    <col min="14" max="14" width="19.7109375" style="37" customWidth="1"/>
    <col min="15" max="15" width="18.140625" style="37" customWidth="1"/>
    <col min="16" max="21" width="18.140625" style="37" customWidth="1" outlineLevel="1"/>
    <col min="22" max="22" width="15" style="37" customWidth="1" outlineLevel="1"/>
    <col min="23" max="23" width="16.140625" style="37" customWidth="1" outlineLevel="1"/>
    <col min="24" max="24" width="25.7109375" style="37" customWidth="1" outlineLevel="1"/>
    <col min="25" max="25" width="19.85546875" style="37" customWidth="1" outlineLevel="1"/>
    <col min="26" max="26" width="16.42578125" style="37" customWidth="1" outlineLevel="1"/>
    <col min="27" max="27" width="20.140625" style="37" customWidth="1" outlineLevel="1"/>
    <col min="28" max="28" width="21.28515625" style="37" customWidth="1"/>
    <col min="29" max="29" width="17.5703125" style="3" customWidth="1" outlineLevel="1"/>
    <col min="30" max="30" width="14.42578125" style="3" customWidth="1" outlineLevel="1"/>
    <col min="31" max="31" width="15.85546875" style="3" customWidth="1"/>
    <col min="32" max="32" width="25.7109375" style="3" customWidth="1" outlineLevel="1"/>
    <col min="33" max="33" width="13.85546875" style="3" customWidth="1"/>
    <col min="34" max="34" width="21.140625" style="3" customWidth="1" outlineLevel="1"/>
    <col min="35" max="35" width="12.42578125" style="3" customWidth="1"/>
    <col min="36" max="37" width="14.85546875" style="3" customWidth="1"/>
    <col min="38" max="38" width="13.85546875" style="3" customWidth="1"/>
    <col min="39" max="39" width="11.42578125" style="3" customWidth="1"/>
    <col min="40" max="41" width="18.42578125" style="3" customWidth="1"/>
    <col min="42" max="43" width="14.85546875" style="3" customWidth="1"/>
    <col min="44" max="44" width="13.85546875" style="3" customWidth="1"/>
    <col min="45" max="45" width="11.42578125" style="3" customWidth="1"/>
    <col min="46" max="47" width="18.42578125" style="3" customWidth="1"/>
    <col min="48" max="49" width="14.85546875" style="3" customWidth="1"/>
    <col min="50" max="50" width="13.85546875" style="3" customWidth="1"/>
    <col min="51" max="51" width="11.42578125" style="3" customWidth="1"/>
    <col min="52" max="53" width="18.42578125" style="3" customWidth="1"/>
    <col min="54" max="55" width="14.85546875" style="3" customWidth="1" outlineLevel="1"/>
    <col min="56" max="56" width="13.85546875" style="3" customWidth="1" outlineLevel="1"/>
    <col min="57" max="57" width="11.42578125" style="3" customWidth="1" outlineLevel="1"/>
    <col min="58" max="59" width="18.42578125" style="3" customWidth="1" outlineLevel="1"/>
    <col min="60" max="61" width="14.85546875" style="3" customWidth="1" outlineLevel="1"/>
    <col min="62" max="62" width="13.85546875" style="3" customWidth="1" outlineLevel="1"/>
    <col min="63" max="63" width="11.42578125" style="3" customWidth="1" outlineLevel="1"/>
    <col min="64" max="65" width="18.42578125" style="3" customWidth="1" outlineLevel="1"/>
    <col min="66" max="67" width="14.85546875" style="3" customWidth="1" outlineLevel="1"/>
    <col min="68" max="68" width="13.85546875" style="3" customWidth="1" outlineLevel="1"/>
    <col min="69" max="69" width="11.42578125" style="3" customWidth="1" outlineLevel="1"/>
    <col min="70" max="71" width="18.42578125" style="3" customWidth="1" outlineLevel="1"/>
    <col min="72" max="73" width="14.85546875" style="3" customWidth="1" outlineLevel="1"/>
    <col min="74" max="74" width="13.85546875" style="3" customWidth="1" outlineLevel="1"/>
    <col min="75" max="75" width="11.42578125" style="3" customWidth="1" outlineLevel="1"/>
    <col min="76" max="77" width="18.42578125" style="3" customWidth="1" outlineLevel="1"/>
    <col min="78" max="79" width="14.85546875" style="3" customWidth="1" outlineLevel="1"/>
    <col min="80" max="80" width="13.85546875" style="3" customWidth="1" outlineLevel="1"/>
    <col min="81" max="81" width="11.42578125" style="3" customWidth="1" outlineLevel="1"/>
    <col min="82" max="83" width="18.42578125" style="3" customWidth="1" outlineLevel="1"/>
    <col min="84" max="85" width="14.85546875" style="3" customWidth="1" outlineLevel="1"/>
    <col min="86" max="86" width="13.85546875" style="3" customWidth="1" outlineLevel="1"/>
    <col min="87" max="87" width="11.42578125" style="3" customWidth="1" outlineLevel="1"/>
    <col min="88" max="89" width="18.42578125" style="3" customWidth="1" outlineLevel="1"/>
    <col min="90" max="91" width="14.85546875" style="3" customWidth="1" outlineLevel="1"/>
    <col min="92" max="92" width="13.85546875" style="3" customWidth="1" outlineLevel="1"/>
    <col min="93" max="93" width="11.42578125" style="3" customWidth="1" outlineLevel="1"/>
    <col min="94" max="95" width="18.42578125" style="3" customWidth="1" outlineLevel="1"/>
    <col min="96" max="16384" width="9.140625" style="3"/>
  </cols>
  <sheetData>
    <row r="1" spans="1:95" ht="1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95" s="4" customFormat="1" ht="15" customHeight="1" x14ac:dyDescent="0.25">
      <c r="G2" s="45" t="s">
        <v>0</v>
      </c>
      <c r="H2" s="46"/>
      <c r="I2" s="50"/>
      <c r="J2" s="50"/>
      <c r="K2" s="50"/>
      <c r="L2" s="197" t="s">
        <v>924</v>
      </c>
      <c r="M2" s="45" t="s">
        <v>97</v>
      </c>
      <c r="N2" s="44"/>
      <c r="O2" s="45" t="s">
        <v>1</v>
      </c>
      <c r="P2" s="44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V2" s="315" t="s">
        <v>2</v>
      </c>
      <c r="AW2" s="316"/>
      <c r="AX2" s="317" t="s">
        <v>3</v>
      </c>
      <c r="AY2" s="318"/>
      <c r="AZ2" s="318"/>
      <c r="BA2" s="319"/>
    </row>
    <row r="3" spans="1:95" s="4" customFormat="1" ht="15" customHeight="1" x14ac:dyDescent="0.25">
      <c r="G3" s="2" t="s">
        <v>4</v>
      </c>
      <c r="H3" s="24"/>
      <c r="I3" s="1"/>
      <c r="L3" s="6"/>
      <c r="M3" s="6"/>
      <c r="O3" s="6"/>
      <c r="P3" s="6"/>
      <c r="Q3" s="6"/>
      <c r="R3" s="6"/>
      <c r="S3" s="6"/>
      <c r="T3" s="6"/>
      <c r="U3" s="6"/>
      <c r="V3" s="6"/>
      <c r="W3" s="6"/>
      <c r="X3" s="6"/>
      <c r="AA3" s="6"/>
      <c r="AC3" s="7"/>
      <c r="AF3" s="6"/>
      <c r="AH3" s="6"/>
      <c r="AI3" s="6"/>
      <c r="AJ3" s="6"/>
      <c r="AK3" s="6"/>
      <c r="AL3" s="5"/>
      <c r="AV3" s="320" t="s">
        <v>5</v>
      </c>
      <c r="AW3" s="321"/>
      <c r="AX3" s="322" t="s">
        <v>999</v>
      </c>
      <c r="AY3" s="323"/>
      <c r="AZ3" s="323"/>
      <c r="BA3" s="324"/>
    </row>
    <row r="4" spans="1:95" s="4" customFormat="1" ht="15.75" thickBot="1" x14ac:dyDescent="0.3">
      <c r="G4" s="2" t="s">
        <v>767</v>
      </c>
      <c r="H4" s="1"/>
      <c r="I4" s="234"/>
      <c r="L4" s="6"/>
      <c r="M4" s="6"/>
      <c r="O4" s="6"/>
      <c r="P4" s="6"/>
      <c r="Q4" s="6"/>
      <c r="R4" s="6"/>
      <c r="S4" s="6"/>
      <c r="T4" s="6"/>
      <c r="U4" s="6"/>
      <c r="V4" s="6"/>
      <c r="W4" s="6"/>
      <c r="X4" s="6"/>
      <c r="AA4" s="6"/>
      <c r="AC4" s="7"/>
      <c r="AD4" s="6"/>
      <c r="AF4" s="6"/>
      <c r="AH4" s="6"/>
      <c r="AI4" s="6"/>
      <c r="AJ4" s="6"/>
      <c r="AK4" s="6"/>
      <c r="AL4" s="5"/>
      <c r="AV4" s="325" t="s">
        <v>6</v>
      </c>
      <c r="AW4" s="326"/>
      <c r="AX4" s="327">
        <v>45474</v>
      </c>
      <c r="AY4" s="328"/>
      <c r="AZ4" s="328"/>
      <c r="BA4" s="329"/>
    </row>
    <row r="5" spans="1:95" s="4" customFormat="1" ht="15.75" thickBot="1" x14ac:dyDescent="0.3">
      <c r="G5" s="64" t="s">
        <v>7</v>
      </c>
      <c r="H5" s="8"/>
      <c r="I5" s="235"/>
      <c r="J5" s="8"/>
      <c r="K5" s="8"/>
      <c r="L5" s="8"/>
      <c r="M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C5" s="10"/>
      <c r="AF5" s="6"/>
      <c r="AH5" s="6"/>
      <c r="AI5" s="6"/>
      <c r="AJ5" s="6"/>
      <c r="AK5" s="6"/>
      <c r="AL5" s="11"/>
      <c r="AU5" s="9"/>
      <c r="AV5" s="9"/>
      <c r="AW5" s="9"/>
      <c r="BC5" s="3"/>
    </row>
    <row r="6" spans="1:95" s="4" customFormat="1" ht="15" customHeight="1" x14ac:dyDescent="0.25">
      <c r="G6" s="64" t="s">
        <v>103</v>
      </c>
      <c r="H6" s="8"/>
      <c r="I6" s="62"/>
      <c r="J6" s="8"/>
      <c r="K6" s="8"/>
      <c r="L6" s="8"/>
      <c r="M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C6" s="10"/>
      <c r="AD6" s="6"/>
      <c r="AF6" s="6"/>
      <c r="AH6" s="6"/>
      <c r="AI6" s="6"/>
      <c r="AJ6" s="133" t="s">
        <v>8</v>
      </c>
      <c r="AK6" s="134"/>
      <c r="AL6" s="134"/>
      <c r="AM6" s="134"/>
      <c r="AN6" s="134"/>
      <c r="AO6" s="134"/>
      <c r="AP6" s="134"/>
      <c r="AQ6" s="134"/>
      <c r="AR6" s="134"/>
      <c r="AS6" s="134"/>
      <c r="AT6" s="134"/>
      <c r="AU6" s="134"/>
      <c r="AV6" s="134"/>
      <c r="AW6" s="134"/>
      <c r="AX6" s="134"/>
      <c r="AY6" s="134"/>
      <c r="AZ6" s="134"/>
      <c r="BA6" s="134"/>
      <c r="BB6" s="134"/>
      <c r="BC6" s="134"/>
      <c r="BD6" s="134"/>
      <c r="BE6" s="134"/>
      <c r="BF6" s="134"/>
      <c r="BG6" s="134"/>
      <c r="BH6" s="134"/>
      <c r="BI6" s="134"/>
      <c r="BJ6" s="134"/>
      <c r="BK6" s="134"/>
      <c r="BL6" s="134"/>
      <c r="BM6" s="134"/>
      <c r="BN6" s="129"/>
      <c r="BO6" s="129"/>
      <c r="BP6" s="129"/>
      <c r="BQ6" s="129"/>
      <c r="BR6" s="129"/>
      <c r="BS6" s="129"/>
      <c r="BT6" s="129"/>
      <c r="BU6" s="129"/>
      <c r="BV6" s="129"/>
      <c r="BW6" s="129"/>
      <c r="BX6" s="129"/>
      <c r="BY6" s="129"/>
      <c r="BZ6" s="129"/>
      <c r="CA6" s="129"/>
      <c r="CB6" s="129"/>
      <c r="CC6" s="129"/>
      <c r="CD6" s="129"/>
      <c r="CE6" s="129"/>
      <c r="CF6" s="129"/>
      <c r="CG6" s="129"/>
      <c r="CH6" s="129"/>
      <c r="CI6" s="129"/>
      <c r="CJ6" s="129"/>
      <c r="CK6" s="129"/>
      <c r="CL6" s="129"/>
      <c r="CM6" s="129"/>
      <c r="CN6" s="129"/>
      <c r="CO6" s="129"/>
      <c r="CP6" s="129"/>
      <c r="CQ6" s="130"/>
    </row>
    <row r="7" spans="1:95" ht="15.75" thickBot="1" x14ac:dyDescent="0.3">
      <c r="A7" s="1"/>
      <c r="B7" s="1"/>
      <c r="C7" s="1"/>
      <c r="D7" s="1"/>
      <c r="E7" s="1"/>
      <c r="F7" s="1"/>
      <c r="G7" s="2" t="s">
        <v>104</v>
      </c>
      <c r="H7" s="1"/>
      <c r="I7" s="170"/>
      <c r="J7" s="1"/>
      <c r="K7" s="1"/>
      <c r="L7" s="1"/>
      <c r="M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C7" s="10"/>
      <c r="AD7" s="6"/>
      <c r="AE7" s="6"/>
      <c r="AF7" s="6"/>
      <c r="AG7" s="6"/>
      <c r="AH7" s="6"/>
      <c r="AI7" s="6"/>
      <c r="AJ7" s="135" t="s">
        <v>9</v>
      </c>
      <c r="AK7" s="136"/>
      <c r="AL7" s="136"/>
      <c r="AM7" s="136"/>
      <c r="AN7" s="136"/>
      <c r="AO7" s="136"/>
      <c r="AP7" s="136"/>
      <c r="AQ7" s="136"/>
      <c r="AR7" s="136"/>
      <c r="AS7" s="136"/>
      <c r="AT7" s="136"/>
      <c r="AU7" s="136"/>
      <c r="AV7" s="136"/>
      <c r="AW7" s="136"/>
      <c r="AX7" s="136"/>
      <c r="AY7" s="136"/>
      <c r="AZ7" s="136"/>
      <c r="BA7" s="136"/>
      <c r="BB7" s="136"/>
      <c r="BC7" s="136"/>
      <c r="BD7" s="136"/>
      <c r="BE7" s="136"/>
      <c r="BF7" s="136"/>
      <c r="BG7" s="136"/>
      <c r="BH7" s="136"/>
      <c r="BI7" s="136"/>
      <c r="BJ7" s="136"/>
      <c r="BK7" s="136"/>
      <c r="BL7" s="136"/>
      <c r="BM7" s="136"/>
      <c r="BN7" s="131"/>
      <c r="BO7" s="131"/>
      <c r="BP7" s="131"/>
      <c r="BQ7" s="131"/>
      <c r="BR7" s="131"/>
      <c r="BS7" s="131"/>
      <c r="BT7" s="131"/>
      <c r="BU7" s="131"/>
      <c r="BV7" s="131"/>
      <c r="BW7" s="131"/>
      <c r="BX7" s="131"/>
      <c r="BY7" s="131"/>
      <c r="BZ7" s="131"/>
      <c r="CA7" s="131"/>
      <c r="CB7" s="131"/>
      <c r="CC7" s="131"/>
      <c r="CD7" s="131"/>
      <c r="CE7" s="131"/>
      <c r="CF7" s="131"/>
      <c r="CG7" s="131"/>
      <c r="CH7" s="131"/>
      <c r="CI7" s="131"/>
      <c r="CJ7" s="131"/>
      <c r="CK7" s="131"/>
      <c r="CL7" s="131"/>
      <c r="CM7" s="131"/>
      <c r="CN7" s="131"/>
      <c r="CO7" s="131"/>
      <c r="CP7" s="131"/>
      <c r="CQ7" s="132"/>
    </row>
    <row r="8" spans="1:95" ht="15.75" thickBot="1" x14ac:dyDescent="0.3">
      <c r="A8" s="1"/>
      <c r="B8" s="1"/>
      <c r="C8" s="1"/>
      <c r="D8" s="1"/>
      <c r="E8" s="1"/>
      <c r="F8" s="1"/>
      <c r="G8" s="2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330">
        <v>1</v>
      </c>
      <c r="AK8" s="331"/>
      <c r="AL8" s="331"/>
      <c r="AM8" s="331"/>
      <c r="AN8" s="331"/>
      <c r="AO8" s="332"/>
      <c r="AP8" s="330">
        <v>2</v>
      </c>
      <c r="AQ8" s="331"/>
      <c r="AR8" s="331"/>
      <c r="AS8" s="331"/>
      <c r="AT8" s="331"/>
      <c r="AU8" s="332"/>
      <c r="AV8" s="330">
        <v>3</v>
      </c>
      <c r="AW8" s="331"/>
      <c r="AX8" s="331"/>
      <c r="AY8" s="331"/>
      <c r="AZ8" s="331"/>
      <c r="BA8" s="332"/>
      <c r="BB8" s="330">
        <v>4</v>
      </c>
      <c r="BC8" s="331"/>
      <c r="BD8" s="331"/>
      <c r="BE8" s="331"/>
      <c r="BF8" s="331"/>
      <c r="BG8" s="332"/>
      <c r="BH8" s="330">
        <v>5</v>
      </c>
      <c r="BI8" s="331"/>
      <c r="BJ8" s="331"/>
      <c r="BK8" s="331"/>
      <c r="BL8" s="331"/>
      <c r="BM8" s="332"/>
      <c r="BN8" s="330">
        <v>6</v>
      </c>
      <c r="BO8" s="331"/>
      <c r="BP8" s="331"/>
      <c r="BQ8" s="331"/>
      <c r="BR8" s="331"/>
      <c r="BS8" s="332"/>
      <c r="BT8" s="330"/>
      <c r="BU8" s="331"/>
      <c r="BV8" s="331"/>
      <c r="BW8" s="331"/>
      <c r="BX8" s="331"/>
      <c r="BY8" s="332"/>
      <c r="BZ8" s="154"/>
      <c r="CA8" s="154"/>
      <c r="CB8" s="154"/>
      <c r="CC8" s="154"/>
      <c r="CD8" s="154"/>
      <c r="CE8" s="154"/>
      <c r="CF8" s="154"/>
      <c r="CG8" s="154"/>
      <c r="CH8" s="154"/>
      <c r="CI8" s="154"/>
      <c r="CJ8" s="154"/>
      <c r="CK8" s="154"/>
      <c r="CL8" s="154"/>
      <c r="CM8" s="154"/>
      <c r="CN8" s="154"/>
      <c r="CO8" s="154"/>
      <c r="CP8" s="154"/>
      <c r="CQ8" s="155"/>
    </row>
    <row r="9" spans="1:95" s="25" customFormat="1" ht="60" customHeight="1" x14ac:dyDescent="0.25">
      <c r="A9" s="335" t="s">
        <v>10</v>
      </c>
      <c r="B9" s="337" t="s">
        <v>11</v>
      </c>
      <c r="C9" s="337" t="s">
        <v>12</v>
      </c>
      <c r="D9" s="98" t="s">
        <v>13</v>
      </c>
      <c r="E9" s="339" t="s">
        <v>14</v>
      </c>
      <c r="F9" s="107" t="s">
        <v>15</v>
      </c>
      <c r="G9" s="108"/>
      <c r="H9" s="108"/>
      <c r="I9" s="109"/>
      <c r="J9" s="107" t="s">
        <v>17</v>
      </c>
      <c r="K9" s="110"/>
      <c r="L9" s="111"/>
      <c r="M9" s="107" t="s">
        <v>98</v>
      </c>
      <c r="N9" s="108"/>
      <c r="O9" s="109"/>
      <c r="P9" s="107" t="s">
        <v>16</v>
      </c>
      <c r="Q9" s="108"/>
      <c r="R9" s="250"/>
      <c r="S9" s="108"/>
      <c r="T9" s="108"/>
      <c r="U9" s="108"/>
      <c r="V9" s="108"/>
      <c r="W9" s="110"/>
      <c r="X9" s="110"/>
      <c r="Y9" s="110"/>
      <c r="Z9" s="110"/>
      <c r="AA9" s="111"/>
      <c r="AB9" s="112" t="s">
        <v>18</v>
      </c>
      <c r="AC9" s="113"/>
      <c r="AD9" s="113"/>
      <c r="AE9" s="113"/>
      <c r="AF9" s="114"/>
      <c r="AG9" s="198" t="s">
        <v>19</v>
      </c>
      <c r="AH9" s="108"/>
      <c r="AI9" s="108"/>
      <c r="AJ9" s="291" t="s">
        <v>20</v>
      </c>
      <c r="AK9" s="292"/>
      <c r="AL9" s="292"/>
      <c r="AM9" s="292"/>
      <c r="AN9" s="292"/>
      <c r="AO9" s="293"/>
      <c r="AP9" s="291" t="s">
        <v>21</v>
      </c>
      <c r="AQ9" s="292"/>
      <c r="AR9" s="292"/>
      <c r="AS9" s="292"/>
      <c r="AT9" s="292"/>
      <c r="AU9" s="293"/>
      <c r="AV9" s="291" t="s">
        <v>22</v>
      </c>
      <c r="AW9" s="292"/>
      <c r="AX9" s="292"/>
      <c r="AY9" s="292"/>
      <c r="AZ9" s="292"/>
      <c r="BA9" s="293"/>
      <c r="BB9" s="291" t="s">
        <v>23</v>
      </c>
      <c r="BC9" s="292"/>
      <c r="BD9" s="292"/>
      <c r="BE9" s="292"/>
      <c r="BF9" s="292"/>
      <c r="BG9" s="293"/>
      <c r="BH9" s="291" t="s">
        <v>24</v>
      </c>
      <c r="BI9" s="292"/>
      <c r="BJ9" s="292"/>
      <c r="BK9" s="292"/>
      <c r="BL9" s="292"/>
      <c r="BM9" s="293"/>
      <c r="BN9" s="291" t="s">
        <v>105</v>
      </c>
      <c r="BO9" s="292"/>
      <c r="BP9" s="292"/>
      <c r="BQ9" s="292"/>
      <c r="BR9" s="292"/>
      <c r="BS9" s="293"/>
      <c r="BT9" s="291" t="s">
        <v>109</v>
      </c>
      <c r="BU9" s="292"/>
      <c r="BV9" s="292"/>
      <c r="BW9" s="292"/>
      <c r="BX9" s="292"/>
      <c r="BY9" s="293"/>
      <c r="BZ9" s="291" t="s">
        <v>25</v>
      </c>
      <c r="CA9" s="292"/>
      <c r="CB9" s="292"/>
      <c r="CC9" s="292"/>
      <c r="CD9" s="292"/>
      <c r="CE9" s="293"/>
      <c r="CF9" s="291" t="s">
        <v>26</v>
      </c>
      <c r="CG9" s="292"/>
      <c r="CH9" s="292"/>
      <c r="CI9" s="292"/>
      <c r="CJ9" s="292"/>
      <c r="CK9" s="293"/>
      <c r="CL9" s="291" t="s">
        <v>27</v>
      </c>
      <c r="CM9" s="292"/>
      <c r="CN9" s="292"/>
      <c r="CO9" s="292"/>
      <c r="CP9" s="292"/>
      <c r="CQ9" s="293"/>
    </row>
    <row r="10" spans="1:95" s="37" customFormat="1" ht="99.75" customHeight="1" thickBot="1" x14ac:dyDescent="0.3">
      <c r="A10" s="336"/>
      <c r="B10" s="338"/>
      <c r="C10" s="338"/>
      <c r="D10" s="99" t="s">
        <v>28</v>
      </c>
      <c r="E10" s="340"/>
      <c r="F10" s="249" t="s">
        <v>926</v>
      </c>
      <c r="G10" s="100" t="s">
        <v>29</v>
      </c>
      <c r="H10" s="101" t="s">
        <v>95</v>
      </c>
      <c r="I10" s="102" t="s">
        <v>30</v>
      </c>
      <c r="J10" s="103" t="s">
        <v>106</v>
      </c>
      <c r="K10" s="104" t="s">
        <v>38</v>
      </c>
      <c r="L10" s="102" t="s">
        <v>39</v>
      </c>
      <c r="M10" s="249" t="s">
        <v>926</v>
      </c>
      <c r="N10" s="100" t="s">
        <v>40</v>
      </c>
      <c r="O10" s="102" t="s">
        <v>30</v>
      </c>
      <c r="P10" s="100" t="s">
        <v>31</v>
      </c>
      <c r="Q10" s="100" t="s">
        <v>32</v>
      </c>
      <c r="R10" s="100" t="s">
        <v>33</v>
      </c>
      <c r="S10" s="100" t="s">
        <v>34</v>
      </c>
      <c r="T10" s="100" t="s">
        <v>92</v>
      </c>
      <c r="U10" s="100" t="s">
        <v>93</v>
      </c>
      <c r="V10" s="100" t="s">
        <v>35</v>
      </c>
      <c r="W10" s="100" t="s">
        <v>36</v>
      </c>
      <c r="X10" s="100" t="s">
        <v>922</v>
      </c>
      <c r="Y10" s="100" t="s">
        <v>919</v>
      </c>
      <c r="Z10" s="100" t="s">
        <v>37</v>
      </c>
      <c r="AA10" s="102" t="s">
        <v>334</v>
      </c>
      <c r="AB10" s="103" t="s">
        <v>41</v>
      </c>
      <c r="AC10" s="101" t="s">
        <v>42</v>
      </c>
      <c r="AD10" s="101" t="s">
        <v>107</v>
      </c>
      <c r="AE10" s="101" t="s">
        <v>43</v>
      </c>
      <c r="AF10" s="102" t="s">
        <v>44</v>
      </c>
      <c r="AG10" s="103" t="s">
        <v>45</v>
      </c>
      <c r="AH10" s="105" t="s">
        <v>46</v>
      </c>
      <c r="AI10" s="100" t="s">
        <v>47</v>
      </c>
      <c r="AJ10" s="103" t="s">
        <v>48</v>
      </c>
      <c r="AK10" s="100" t="s">
        <v>49</v>
      </c>
      <c r="AL10" s="100" t="s">
        <v>50</v>
      </c>
      <c r="AM10" s="100" t="s">
        <v>108</v>
      </c>
      <c r="AN10" s="100" t="s">
        <v>102</v>
      </c>
      <c r="AO10" s="106" t="s">
        <v>51</v>
      </c>
      <c r="AP10" s="89" t="s">
        <v>48</v>
      </c>
      <c r="AQ10" s="88" t="s">
        <v>49</v>
      </c>
      <c r="AR10" s="88" t="s">
        <v>50</v>
      </c>
      <c r="AS10" s="100" t="s">
        <v>108</v>
      </c>
      <c r="AT10" s="100" t="s">
        <v>102</v>
      </c>
      <c r="AU10" s="106" t="s">
        <v>51</v>
      </c>
      <c r="AV10" s="90" t="s">
        <v>48</v>
      </c>
      <c r="AW10" s="88" t="s">
        <v>49</v>
      </c>
      <c r="AX10" s="88" t="s">
        <v>50</v>
      </c>
      <c r="AY10" s="100" t="s">
        <v>108</v>
      </c>
      <c r="AZ10" s="100" t="s">
        <v>102</v>
      </c>
      <c r="BA10" s="106" t="s">
        <v>51</v>
      </c>
      <c r="BB10" s="103" t="s">
        <v>48</v>
      </c>
      <c r="BC10" s="100" t="s">
        <v>49</v>
      </c>
      <c r="BD10" s="100" t="s">
        <v>50</v>
      </c>
      <c r="BE10" s="100" t="s">
        <v>108</v>
      </c>
      <c r="BF10" s="100" t="s">
        <v>102</v>
      </c>
      <c r="BG10" s="106" t="s">
        <v>51</v>
      </c>
      <c r="BH10" s="229" t="s">
        <v>48</v>
      </c>
      <c r="BI10" s="230" t="s">
        <v>49</v>
      </c>
      <c r="BJ10" s="230" t="s">
        <v>50</v>
      </c>
      <c r="BK10" s="230" t="s">
        <v>108</v>
      </c>
      <c r="BL10" s="230" t="s">
        <v>102</v>
      </c>
      <c r="BM10" s="231" t="s">
        <v>51</v>
      </c>
      <c r="BN10" s="229" t="s">
        <v>48</v>
      </c>
      <c r="BO10" s="230" t="s">
        <v>49</v>
      </c>
      <c r="BP10" s="230" t="s">
        <v>50</v>
      </c>
      <c r="BQ10" s="230" t="s">
        <v>108</v>
      </c>
      <c r="BR10" s="230" t="s">
        <v>102</v>
      </c>
      <c r="BS10" s="231" t="s">
        <v>51</v>
      </c>
      <c r="BT10" s="229" t="s">
        <v>48</v>
      </c>
      <c r="BU10" s="230" t="s">
        <v>49</v>
      </c>
      <c r="BV10" s="230" t="s">
        <v>50</v>
      </c>
      <c r="BW10" s="230" t="s">
        <v>108</v>
      </c>
      <c r="BX10" s="230" t="s">
        <v>102</v>
      </c>
      <c r="BY10" s="231" t="s">
        <v>51</v>
      </c>
      <c r="BZ10" s="229" t="s">
        <v>48</v>
      </c>
      <c r="CA10" s="230" t="s">
        <v>49</v>
      </c>
      <c r="CB10" s="230" t="s">
        <v>50</v>
      </c>
      <c r="CC10" s="230" t="s">
        <v>108</v>
      </c>
      <c r="CD10" s="230" t="s">
        <v>102</v>
      </c>
      <c r="CE10" s="231" t="s">
        <v>51</v>
      </c>
      <c r="CF10" s="229" t="s">
        <v>48</v>
      </c>
      <c r="CG10" s="230" t="s">
        <v>49</v>
      </c>
      <c r="CH10" s="230" t="s">
        <v>50</v>
      </c>
      <c r="CI10" s="230" t="s">
        <v>108</v>
      </c>
      <c r="CJ10" s="230" t="s">
        <v>102</v>
      </c>
      <c r="CK10" s="231" t="s">
        <v>51</v>
      </c>
      <c r="CL10" s="229" t="s">
        <v>48</v>
      </c>
      <c r="CM10" s="230" t="s">
        <v>49</v>
      </c>
      <c r="CN10" s="230" t="s">
        <v>50</v>
      </c>
      <c r="CO10" s="230" t="s">
        <v>108</v>
      </c>
      <c r="CP10" s="230" t="s">
        <v>102</v>
      </c>
      <c r="CQ10" s="231" t="s">
        <v>51</v>
      </c>
    </row>
    <row r="11" spans="1:95" s="118" customFormat="1" ht="15" x14ac:dyDescent="0.25">
      <c r="A11" s="119">
        <v>1</v>
      </c>
      <c r="B11" s="57"/>
      <c r="C11" s="120"/>
      <c r="D11" s="58"/>
      <c r="E11" s="124"/>
      <c r="F11" s="121"/>
      <c r="G11" s="60"/>
      <c r="H11" s="122"/>
      <c r="I11" s="200">
        <f>G11*D11</f>
        <v>0</v>
      </c>
      <c r="J11" s="201"/>
      <c r="K11" s="125"/>
      <c r="L11" s="233">
        <f>IFERROR((J11-N11)/J11,0)</f>
        <v>0</v>
      </c>
      <c r="M11" s="232" t="str">
        <f t="shared" ref="M11" si="0">IF(N11&gt;0,IF(N11=AK11,$AJ$9,IF(N11=AQ11,$AP$9,IF(N11=AW11,$AV$9,IF(N11=BC11,$BB$9,IF(N11=BI11,$BH$9,IF(N11=BO11,$BN$9,IF(N11=BU11,$BT$9,IF(N11=CA11,$BZ$9,IF(N11=CG11,$CF$9,IF(N11=CM11,$CL$9,"")))))))))),"")</f>
        <v/>
      </c>
      <c r="N11" s="232">
        <f>IF(X11&gt;0,X11,Z11)</f>
        <v>0</v>
      </c>
      <c r="O11" s="232">
        <f>IFERROR(N11*D11,"")</f>
        <v>0</v>
      </c>
      <c r="P11" s="232">
        <f>MIN(IF($AO11=Reference!$A$10,100000000,AJ11),IF($AU11=Reference!$A$10,100000000,AP11),IF($BA11=Reference!$A$10,100000000,AV11),IF($BG11=Reference!$A$10,100000000,BB11),IF($BM11=Reference!$A$10,100000000,BH11),IF($BS11=Reference!$A$10,100000000,BN11),IF($BY11=Reference!$A$10,100000000,BT11),IF($CE11=Reference!$A$10,100000000,BZ11),IF($CK11=Reference!$A$10,100000000,CF11),IF($CQ11=Reference!$A$10,100000000,CL11))</f>
        <v>0</v>
      </c>
      <c r="Q11" s="200" t="b">
        <f t="shared" ref="Q11:Q30" si="1">W11=F11</f>
        <v>0</v>
      </c>
      <c r="R11" s="251">
        <f t="shared" ref="R11:R30" si="2">COUNT(BC11,AK11,AQ11,AW11,BI11,BO11,BU11,CA11,CG11,CM11)</f>
        <v>0</v>
      </c>
      <c r="S11" s="200" t="b">
        <f>MIN(AK11,AQ11,AW11,BC11,BI11,BO11,BU11,CA11,CG11,CM11)=N11</f>
        <v>1</v>
      </c>
      <c r="T11" s="200" t="str">
        <f t="shared" ref="T11:T30" si="3">IFERROR(AVERAGE(AK11,AQ11,AW11,BC11,BI11,BO11,BU11,CA11,CG11,CM11),"")</f>
        <v/>
      </c>
      <c r="U11" s="252" t="str">
        <f t="shared" ref="U11:U30" si="4">IFERROR(((G11-T11)/G11),"")</f>
        <v/>
      </c>
      <c r="V11" s="200" t="b">
        <f t="shared" ref="V11:V30" si="5">$Z11=$N11</f>
        <v>1</v>
      </c>
      <c r="W11" s="200" t="str">
        <f>IF(Z11=AK11,$AJ$9,IF(Z11=AQ11,$AP$9,IF(Z11=AW11,$AV$9,IF(Z11=BC11,$BB$9,IF(Z11=BI11,$BH$9,IF(Z11=BO11,$BN$9,IF(Z11=BU11,$BT$9,IF(Z11=CA11,$BZ$9,IF(Z11=CG11,$CF$9,IF(Z11=CM11,$CL$9))))))))))</f>
        <v>VENDOR 1</v>
      </c>
      <c r="X11" s="200">
        <f>IF(AO11=Reference!$A$8,'Bid Tab (F&amp;B Ops and CatMan) 10'!AK11,IF('Bid Tab (F&amp;B Ops and CatMan) 10'!AU11=Reference!$A$8,'Bid Tab (F&amp;B Ops and CatMan) 10'!AQ11,IF('Bid Tab (F&amp;B Ops and CatMan) 10'!BA11=Reference!$A$8,'Bid Tab (F&amp;B Ops and CatMan) 10'!AW11,IF('Bid Tab (F&amp;B Ops and CatMan) 10'!BG11=Reference!$A$8,'Bid Tab (F&amp;B Ops and CatMan) 10'!BC11,IF('Bid Tab (F&amp;B Ops and CatMan) 10'!BM11=Reference!$A$8,'Bid Tab (F&amp;B Ops and CatMan) 10'!BI11,IF('Bid Tab (F&amp;B Ops and CatMan) 10'!BS11=Reference!$A$8,'Bid Tab (F&amp;B Ops and CatMan) 10'!BO11,IF('Bid Tab (F&amp;B Ops and CatMan) 10'!BY11=Reference!$A$8,'Bid Tab (F&amp;B Ops and CatMan) 10'!BU11,IF('Bid Tab (F&amp;B Ops and CatMan) 10'!CE11=Reference!$A$8,'Bid Tab (F&amp;B Ops and CatMan) 10'!CA11,IF('Bid Tab (F&amp;B Ops and CatMan) 10'!CK11=Reference!$A$8,'Bid Tab (F&amp;B Ops and CatMan) 10'!CG11,IF('Bid Tab (F&amp;B Ops and CatMan) 10'!CQ11=Reference!$A$8,'Bid Tab (F&amp;B Ops and CatMan) 10'!CM11,0))))))))))</f>
        <v>0</v>
      </c>
      <c r="Y11" s="200" t="b">
        <f>IFERROR(IF(Reference!$A$8=HLOOKUP(Reference!$A$8,'Bid Tab (F&amp;B Ops and CatMan) 10'!AJ11:CQ11,1,0),TRUE,FALSE),FALSE)</f>
        <v>0</v>
      </c>
      <c r="Z11" s="200">
        <f>MIN(IF(AO11=Reference!$A$10,100000000,AK11),IF(AU11=Reference!$A$10,100000000,AQ11),IF(BA11=Reference!$A$10,100000000,AW11),IF(BG11=Reference!$A$10,100000000,BC11),IF(BM11=Reference!$A$10,100000000,BI11),IF(BS11=Reference!$A$10,100000000,BO11),IF(BY11=Reference!$A$10,100000000,BU11),IF(CE11=Reference!$A$10,100000000,CA11),IF(CK11=Reference!$A$10,100000000,CG11),IF(CQ11=Reference!$A$10,100000000,CM11))</f>
        <v>0</v>
      </c>
      <c r="AA11" s="200">
        <f>IF(X11&gt;0,X11*D11,Z11*D11)</f>
        <v>0</v>
      </c>
      <c r="AB11" s="200">
        <f ca="1">IF(Reference!A18&gt;0,Reference!A18,MAX(IF(TODAY()-H11&lt;365,IF(G11&gt;=N11,G11,P11),P11),G11))</f>
        <v>0</v>
      </c>
      <c r="AC11" s="200">
        <f t="shared" ref="AC11:AC30" ca="1" si="6">IF(AE11&gt;0,AB11*$D11,O11)</f>
        <v>0</v>
      </c>
      <c r="AD11" s="200">
        <f t="shared" ref="AD11:AD30" ca="1" si="7">IF(N11&gt;$AB11,0,(($AB11-N11)))</f>
        <v>0</v>
      </c>
      <c r="AE11" s="200">
        <f t="shared" ref="AE11:AE30" ca="1" si="8">IF(N11&gt;$AB11,0,(($AB11-N11)*$D11))</f>
        <v>0</v>
      </c>
      <c r="AF11" s="202" t="str">
        <f ca="1">IF(AND((AD11=0),(F11=M11),(G11=N11),(TODAY()-H11&lt;365)),"PRICE EXTENSION",IF(AND(G11=AB11,G11&gt;0),"LAST SYSTEM PRICE",IF(AB11&gt;0,"INITIAL LOWEST BID"," ")))</f>
        <v xml:space="preserve"> </v>
      </c>
      <c r="AG11" s="203">
        <f t="shared" ref="AG11:AG30" si="9">IF(G11&gt;0,G11-Z11,0)</f>
        <v>0</v>
      </c>
      <c r="AH11" s="204">
        <f t="shared" ref="AH11:AH30" si="10">AG11*D11</f>
        <v>0</v>
      </c>
      <c r="AI11" s="205">
        <f t="shared" ref="AI11:AI30" si="11">IFERROR((G11-Z11)/G11,0)</f>
        <v>0</v>
      </c>
      <c r="AJ11" s="209"/>
      <c r="AK11" s="137"/>
      <c r="AL11" s="206">
        <f t="shared" ref="AL11:AL30" si="12">IFERROR(AK11*$D11,0)</f>
        <v>0</v>
      </c>
      <c r="AM11" s="207">
        <f t="shared" ref="AM11:AM30" si="13">IFERROR(($G11-AK11)/$G11,0)</f>
        <v>0</v>
      </c>
      <c r="AN11" s="123"/>
      <c r="AO11" s="208"/>
      <c r="AP11" s="209"/>
      <c r="AQ11" s="137"/>
      <c r="AR11" s="206">
        <f t="shared" ref="AR11:AR30" si="14">IFERROR(AQ11*$D11,0)</f>
        <v>0</v>
      </c>
      <c r="AS11" s="207">
        <f t="shared" ref="AS11:AS30" si="15">IFERROR(($G11-AQ11)/$G11,0)</f>
        <v>0</v>
      </c>
      <c r="AT11" s="123"/>
      <c r="AU11" s="208"/>
      <c r="AV11" s="209"/>
      <c r="AW11" s="137"/>
      <c r="AX11" s="206">
        <f t="shared" ref="AX11:AX30" si="16">IFERROR(AW11*$D11,0)</f>
        <v>0</v>
      </c>
      <c r="AY11" s="207">
        <f t="shared" ref="AY11:AY30" si="17">IFERROR(($G11-AW11)/$G11,0)</f>
        <v>0</v>
      </c>
      <c r="AZ11" s="123"/>
      <c r="BA11" s="208"/>
      <c r="BB11" s="209"/>
      <c r="BC11" s="137"/>
      <c r="BD11" s="206" t="s">
        <v>949</v>
      </c>
      <c r="BE11" s="207">
        <f t="shared" ref="BE11:BE30" si="18">IFERROR(($G11-BC11)/$G11,0)</f>
        <v>0</v>
      </c>
      <c r="BF11" s="123"/>
      <c r="BG11" s="208"/>
      <c r="BH11" s="209"/>
      <c r="BI11" s="227"/>
      <c r="BJ11" s="206">
        <f t="shared" ref="BJ11:BJ30" si="19">IFERROR(BI11*$D11,0)</f>
        <v>0</v>
      </c>
      <c r="BK11" s="207">
        <f t="shared" ref="BK11:BK30" si="20">IFERROR(($G11-BI11)/$G11,0)</f>
        <v>0</v>
      </c>
      <c r="BL11" s="228"/>
      <c r="BM11" s="208"/>
      <c r="BN11" s="209"/>
      <c r="BO11" s="227"/>
      <c r="BP11" s="206">
        <f t="shared" ref="BP11:BP30" si="21">IFERROR(BO11*$D11,0)</f>
        <v>0</v>
      </c>
      <c r="BQ11" s="207">
        <f t="shared" ref="BQ11:BQ30" si="22">IFERROR(($G11-BO11)/$G11,0)</f>
        <v>0</v>
      </c>
      <c r="BR11" s="228"/>
      <c r="BS11" s="208"/>
      <c r="BT11" s="209"/>
      <c r="BU11" s="227"/>
      <c r="BV11" s="206">
        <f t="shared" ref="BV11:BV30" si="23">IFERROR(BU11*$D11,0)</f>
        <v>0</v>
      </c>
      <c r="BW11" s="207">
        <f t="shared" ref="BW11:BW30" si="24">IFERROR(($G11-BU11)/$G11,0)</f>
        <v>0</v>
      </c>
      <c r="BX11" s="228"/>
      <c r="BY11" s="208"/>
      <c r="BZ11" s="209"/>
      <c r="CA11" s="227"/>
      <c r="CB11" s="206">
        <f t="shared" ref="CB11" si="25">IFERROR(CA11*$D11,0)</f>
        <v>0</v>
      </c>
      <c r="CC11" s="207">
        <f t="shared" ref="CC11:CC30" si="26">IFERROR(($G11-CA11)/$G11,0)</f>
        <v>0</v>
      </c>
      <c r="CD11" s="228"/>
      <c r="CE11" s="208"/>
      <c r="CF11" s="209"/>
      <c r="CG11" s="227"/>
      <c r="CH11" s="206">
        <f t="shared" ref="CH11" si="27">IFERROR(CG11*$D11,0)</f>
        <v>0</v>
      </c>
      <c r="CI11" s="207">
        <f t="shared" ref="CI11:CI30" si="28">IFERROR(($G11-CG11)/$G11,0)</f>
        <v>0</v>
      </c>
      <c r="CJ11" s="228"/>
      <c r="CK11" s="208"/>
      <c r="CL11" s="209"/>
      <c r="CM11" s="227"/>
      <c r="CN11" s="206">
        <f t="shared" ref="CN11" si="29">IFERROR(CM11*$D11,0)</f>
        <v>0</v>
      </c>
      <c r="CO11" s="207">
        <f t="shared" ref="CO11:CO30" si="30">IFERROR(($G11-CM11)/$G11,0)</f>
        <v>0</v>
      </c>
      <c r="CP11" s="228"/>
      <c r="CQ11" s="208"/>
    </row>
    <row r="12" spans="1:95" s="118" customFormat="1" ht="15" x14ac:dyDescent="0.25">
      <c r="A12" s="119">
        <v>2</v>
      </c>
      <c r="B12" s="57"/>
      <c r="C12" s="120"/>
      <c r="D12" s="58"/>
      <c r="E12" s="124"/>
      <c r="F12" s="121"/>
      <c r="G12" s="60"/>
      <c r="H12" s="122"/>
      <c r="I12" s="200">
        <f t="shared" ref="I12:I30" si="31">G12*D12</f>
        <v>0</v>
      </c>
      <c r="J12" s="60"/>
      <c r="K12" s="125"/>
      <c r="L12" s="233">
        <f t="shared" ref="L12:L30" si="32">IFERROR((J12-N12)/J12,0)</f>
        <v>0</v>
      </c>
      <c r="M12" s="232" t="str">
        <f>IF(N12&gt;0,IF(N12=AK12,$AJ$9,IF(N12=AQ12,$AP$9,IF(N12=AW12,$AV$9,IF(N12=BC12,$BB$9,IF(N12=BI12,$BH$9,IF(N12=BO12,$BN$9,IF(N12=BU12,$BT$9,IF(N12=CA12,$BZ$9,IF(N12=CG12,$CF$9,IF(N12=CM12,$CL$9,"")))))))))),"")</f>
        <v/>
      </c>
      <c r="N12" s="232">
        <f t="shared" ref="N12:N30" si="33">IF(X12&gt;0,X12,Z12)</f>
        <v>0</v>
      </c>
      <c r="O12" s="232">
        <f t="shared" ref="O12:O30" si="34">IFERROR(N12*D12,"")</f>
        <v>0</v>
      </c>
      <c r="P12" s="232">
        <f>MIN(IF($AO12=Reference!$A$10,100000000,AJ12),IF($AU12=Reference!$A$10,100000000,AP12),IF($BA12=Reference!$A$10,100000000,AV12),IF($BG12=Reference!$A$10,100000000,BB12),IF($BM12=Reference!$A$10,100000000,BH12),IF($BS12=Reference!$A$10,100000000,BN12),IF($BY12=Reference!$A$10,100000000,BT12),IF($CE12=Reference!$A$10,100000000,BZ12),IF($CK12=Reference!$A$10,100000000,CF12),IF($CQ12=Reference!$A$10,100000000,CL12))</f>
        <v>0</v>
      </c>
      <c r="Q12" s="200" t="b">
        <f t="shared" si="1"/>
        <v>0</v>
      </c>
      <c r="R12" s="251">
        <f t="shared" si="2"/>
        <v>0</v>
      </c>
      <c r="S12" s="200" t="b">
        <f t="shared" ref="S12:S30" si="35">MIN(AK12,AQ12,AW12,BC12,BI12,BO12,BU12,CA12,CG12,CM12)=N12</f>
        <v>1</v>
      </c>
      <c r="T12" s="200" t="str">
        <f t="shared" si="3"/>
        <v/>
      </c>
      <c r="U12" s="252" t="str">
        <f t="shared" si="4"/>
        <v/>
      </c>
      <c r="V12" s="200" t="b">
        <f t="shared" si="5"/>
        <v>1</v>
      </c>
      <c r="W12" s="200" t="str">
        <f t="shared" ref="W12:W30" si="36">IF(Z12=AK12,$AJ$9,IF(Z12=AQ12,$AP$9,IF(Z12=AW12,$AV$9,IF(Z12=BC12,$BB$9,IF(Z12=BI12,$BH$9,IF(Z12=BO12,$BN$9,IF(Z12=BU12,$BT$9,IF(Z12=CA12,$BZ$9,IF(Z12=CG12,$CF$9,IF(Z12=CM12,$CL$9,""))))))))))</f>
        <v>VENDOR 1</v>
      </c>
      <c r="X12" s="200">
        <f>IF(AO12=Reference!$A$8,'Bid Tab (F&amp;B Ops and CatMan) 10'!AK12,IF('Bid Tab (F&amp;B Ops and CatMan) 10'!AU12=Reference!$A$8,'Bid Tab (F&amp;B Ops and CatMan) 10'!AQ12,IF('Bid Tab (F&amp;B Ops and CatMan) 10'!BA12=Reference!$A$8,'Bid Tab (F&amp;B Ops and CatMan) 10'!AW12,IF('Bid Tab (F&amp;B Ops and CatMan) 10'!BG12=Reference!$A$8,'Bid Tab (F&amp;B Ops and CatMan) 10'!BC12,IF('Bid Tab (F&amp;B Ops and CatMan) 10'!BM12=Reference!$A$8,'Bid Tab (F&amp;B Ops and CatMan) 10'!BI12,IF('Bid Tab (F&amp;B Ops and CatMan) 10'!BS12=Reference!$A$8,'Bid Tab (F&amp;B Ops and CatMan) 10'!BO12,IF('Bid Tab (F&amp;B Ops and CatMan) 10'!BY12=Reference!$A$8,'Bid Tab (F&amp;B Ops and CatMan) 10'!BU12,IF('Bid Tab (F&amp;B Ops and CatMan) 10'!CE12=Reference!$A$8,'Bid Tab (F&amp;B Ops and CatMan) 10'!CA12,IF('Bid Tab (F&amp;B Ops and CatMan) 10'!CK12=Reference!$A$8,'Bid Tab (F&amp;B Ops and CatMan) 10'!CG12,IF('Bid Tab (F&amp;B Ops and CatMan) 10'!CQ12=Reference!$A$8,'Bid Tab (F&amp;B Ops and CatMan) 10'!CM12,0))))))))))</f>
        <v>0</v>
      </c>
      <c r="Y12" s="200" t="b">
        <f>IFERROR(IF(Reference!$A$8=HLOOKUP(Reference!$A$8,'Bid Tab (F&amp;B Ops and CatMan) 10'!AJ12:CQ12,1,0),TRUE,FALSE),FALSE)</f>
        <v>0</v>
      </c>
      <c r="Z12" s="200">
        <f>MIN(IF(AO12=Reference!$A$10,100000000,AK12),IF(AU12=Reference!$A$10,100000000,AQ12),IF(BA12=Reference!$A$10,100000000,AW12),IF(BG12=Reference!$A$10,100000000,BC12),IF(BM12=Reference!$A$10,100000000,BI12),IF(BS12=Reference!$A$10,100000000,BO12),IF(BY12=Reference!$A$10,100000000,BU12),IF(CE12=Reference!$A$10,100000000,CA12),IF(CK12=Reference!$A$10,100000000,CG12),IF(CQ12=Reference!$A$10,100000000,CM12))</f>
        <v>0</v>
      </c>
      <c r="AA12" s="200">
        <f t="shared" ref="AA12:AA30" si="37">IF(X12&gt;0,X12*D12,Z12*D12)</f>
        <v>0</v>
      </c>
      <c r="AB12" s="200">
        <f ca="1">IF(Reference!A19&gt;0,Reference!A19,MAX(IF(TODAY()-H12&lt;365,IF(G12&gt;=N12,G12,P12),P12),G12))</f>
        <v>0</v>
      </c>
      <c r="AC12" s="200">
        <f t="shared" ca="1" si="6"/>
        <v>0</v>
      </c>
      <c r="AD12" s="200">
        <f t="shared" ca="1" si="7"/>
        <v>0</v>
      </c>
      <c r="AE12" s="200">
        <f t="shared" ca="1" si="8"/>
        <v>0</v>
      </c>
      <c r="AF12" s="202" t="str">
        <f t="shared" ref="AF12:AF30" ca="1" si="38">IF(AND((AD12=0),(F12=M12),(G12=N12),(TODAY()-H12&lt;365)),"PRICE EXTENSION",IF(AND(G12=AB12,G12&gt;0),"LAST SYSTEM PRICE",IF(AB12&gt;0,"INITIAL LOWEST BID"," ")))</f>
        <v xml:space="preserve"> </v>
      </c>
      <c r="AG12" s="203">
        <f t="shared" si="9"/>
        <v>0</v>
      </c>
      <c r="AH12" s="204">
        <f t="shared" si="10"/>
        <v>0</v>
      </c>
      <c r="AI12" s="205">
        <f t="shared" si="11"/>
        <v>0</v>
      </c>
      <c r="AJ12" s="209"/>
      <c r="AK12" s="137"/>
      <c r="AL12" s="206">
        <f t="shared" si="12"/>
        <v>0</v>
      </c>
      <c r="AM12" s="207">
        <f t="shared" si="13"/>
        <v>0</v>
      </c>
      <c r="AN12" s="123"/>
      <c r="AO12" s="208"/>
      <c r="AP12" s="209"/>
      <c r="AQ12" s="137"/>
      <c r="AR12" s="206">
        <f t="shared" si="14"/>
        <v>0</v>
      </c>
      <c r="AS12" s="207">
        <f t="shared" si="15"/>
        <v>0</v>
      </c>
      <c r="AT12" s="123"/>
      <c r="AU12" s="208"/>
      <c r="AV12" s="209"/>
      <c r="AW12" s="137"/>
      <c r="AX12" s="206">
        <f t="shared" si="16"/>
        <v>0</v>
      </c>
      <c r="AY12" s="207">
        <f t="shared" si="17"/>
        <v>0</v>
      </c>
      <c r="AZ12" s="123"/>
      <c r="BA12" s="208"/>
      <c r="BB12" s="209"/>
      <c r="BC12" s="137"/>
      <c r="BD12" s="206">
        <f t="shared" ref="BD12:BD30" si="39">IFERROR(BC12*$D12,0)</f>
        <v>0</v>
      </c>
      <c r="BE12" s="207">
        <f t="shared" si="18"/>
        <v>0</v>
      </c>
      <c r="BF12" s="123"/>
      <c r="BG12" s="208"/>
      <c r="BH12" s="209"/>
      <c r="BI12" s="137"/>
      <c r="BJ12" s="206">
        <f t="shared" si="19"/>
        <v>0</v>
      </c>
      <c r="BK12" s="207">
        <f t="shared" si="20"/>
        <v>0</v>
      </c>
      <c r="BL12" s="123"/>
      <c r="BM12" s="208"/>
      <c r="BN12" s="209"/>
      <c r="BO12" s="137"/>
      <c r="BP12" s="206">
        <f t="shared" si="21"/>
        <v>0</v>
      </c>
      <c r="BQ12" s="207">
        <f t="shared" si="22"/>
        <v>0</v>
      </c>
      <c r="BR12" s="123"/>
      <c r="BS12" s="208"/>
      <c r="BT12" s="209"/>
      <c r="BU12" s="137"/>
      <c r="BV12" s="206">
        <f t="shared" si="23"/>
        <v>0</v>
      </c>
      <c r="BW12" s="207">
        <f t="shared" si="24"/>
        <v>0</v>
      </c>
      <c r="BX12" s="123"/>
      <c r="BY12" s="208"/>
      <c r="BZ12" s="209"/>
      <c r="CA12" s="137"/>
      <c r="CB12" s="206">
        <f t="shared" ref="CB12" si="40">IFERROR(CA12*$D12,0)</f>
        <v>0</v>
      </c>
      <c r="CC12" s="207">
        <f t="shared" si="26"/>
        <v>0</v>
      </c>
      <c r="CD12" s="123"/>
      <c r="CE12" s="208"/>
      <c r="CF12" s="209"/>
      <c r="CG12" s="137"/>
      <c r="CH12" s="206">
        <f t="shared" ref="CH12" si="41">IFERROR(CG12*$D12,0)</f>
        <v>0</v>
      </c>
      <c r="CI12" s="207">
        <f t="shared" si="28"/>
        <v>0</v>
      </c>
      <c r="CJ12" s="123"/>
      <c r="CK12" s="208"/>
      <c r="CL12" s="209"/>
      <c r="CM12" s="137"/>
      <c r="CN12" s="206">
        <f t="shared" ref="CN12" si="42">IFERROR(CM12*$D12,0)</f>
        <v>0</v>
      </c>
      <c r="CO12" s="207">
        <f t="shared" si="30"/>
        <v>0</v>
      </c>
      <c r="CP12" s="123"/>
      <c r="CQ12" s="208"/>
    </row>
    <row r="13" spans="1:95" s="118" customFormat="1" ht="15" x14ac:dyDescent="0.25">
      <c r="A13" s="119">
        <v>3</v>
      </c>
      <c r="B13" s="57"/>
      <c r="C13" s="120"/>
      <c r="D13" s="58"/>
      <c r="E13" s="124"/>
      <c r="F13" s="121"/>
      <c r="G13" s="60"/>
      <c r="H13" s="122"/>
      <c r="I13" s="200">
        <f t="shared" si="31"/>
        <v>0</v>
      </c>
      <c r="J13" s="60"/>
      <c r="K13" s="125"/>
      <c r="L13" s="233">
        <f t="shared" si="32"/>
        <v>0</v>
      </c>
      <c r="M13" s="232" t="str">
        <f t="shared" ref="M13:M30" si="43">IF(N13&gt;0,IF(N13=AK13,$AJ$9,IF(N13=AQ13,$AP$9,IF(N13=AW13,$AV$9,IF(N13=BC13,$BB$9,IF(N13=BI13,$BH$9,IF(N13=BO13,$BN$9,IF(N13=BU13,$BT$9,IF(N13=CA13,$BZ$9,IF(N13=CG13,$CF$9,IF(N13=CM13,$CL$9,"")))))))))),"")</f>
        <v/>
      </c>
      <c r="N13" s="232">
        <f t="shared" si="33"/>
        <v>0</v>
      </c>
      <c r="O13" s="232">
        <f t="shared" si="34"/>
        <v>0</v>
      </c>
      <c r="P13" s="232">
        <f>MIN(IF($AO13=Reference!$A$10,100000000,AJ13),IF($AU13=Reference!$A$10,100000000,AP13),IF($BA13=Reference!$A$10,100000000,AV13),IF($BG13=Reference!$A$10,100000000,BB13),IF($BM13=Reference!$A$10,100000000,BH13),IF($BS13=Reference!$A$10,100000000,BN13),IF($BY13=Reference!$A$10,100000000,BT13),IF($CE13=Reference!$A$10,100000000,BZ13),IF($CK13=Reference!$A$10,100000000,CF13),IF($CQ13=Reference!$A$10,100000000,CL13))</f>
        <v>0</v>
      </c>
      <c r="Q13" s="200" t="b">
        <f t="shared" si="1"/>
        <v>0</v>
      </c>
      <c r="R13" s="251">
        <f t="shared" si="2"/>
        <v>0</v>
      </c>
      <c r="S13" s="200" t="b">
        <f t="shared" si="35"/>
        <v>1</v>
      </c>
      <c r="T13" s="200" t="str">
        <f t="shared" si="3"/>
        <v/>
      </c>
      <c r="U13" s="252" t="str">
        <f t="shared" si="4"/>
        <v/>
      </c>
      <c r="V13" s="200" t="b">
        <f t="shared" si="5"/>
        <v>1</v>
      </c>
      <c r="W13" s="200" t="str">
        <f t="shared" si="36"/>
        <v>VENDOR 1</v>
      </c>
      <c r="X13" s="200">
        <f>IF(AO13=Reference!$A$8,'Bid Tab (F&amp;B Ops and CatMan) 10'!AK13,IF('Bid Tab (F&amp;B Ops and CatMan) 10'!AU13=Reference!$A$8,'Bid Tab (F&amp;B Ops and CatMan) 10'!AQ13,IF('Bid Tab (F&amp;B Ops and CatMan) 10'!BA13=Reference!$A$8,'Bid Tab (F&amp;B Ops and CatMan) 10'!AW13,IF('Bid Tab (F&amp;B Ops and CatMan) 10'!BG13=Reference!$A$8,'Bid Tab (F&amp;B Ops and CatMan) 10'!BC13,IF('Bid Tab (F&amp;B Ops and CatMan) 10'!BM13=Reference!$A$8,'Bid Tab (F&amp;B Ops and CatMan) 10'!BI13,IF('Bid Tab (F&amp;B Ops and CatMan) 10'!BS13=Reference!$A$8,'Bid Tab (F&amp;B Ops and CatMan) 10'!BO13,IF('Bid Tab (F&amp;B Ops and CatMan) 10'!BY13=Reference!$A$8,'Bid Tab (F&amp;B Ops and CatMan) 10'!BU13,IF('Bid Tab (F&amp;B Ops and CatMan) 10'!CE13=Reference!$A$8,'Bid Tab (F&amp;B Ops and CatMan) 10'!CA13,IF('Bid Tab (F&amp;B Ops and CatMan) 10'!CK13=Reference!$A$8,'Bid Tab (F&amp;B Ops and CatMan) 10'!CG13,IF('Bid Tab (F&amp;B Ops and CatMan) 10'!CQ13=Reference!$A$8,'Bid Tab (F&amp;B Ops and CatMan) 10'!CM13,0))))))))))</f>
        <v>0</v>
      </c>
      <c r="Y13" s="200" t="b">
        <f>IFERROR(IF(Reference!$A$8=HLOOKUP(Reference!$A$8,'Bid Tab (F&amp;B Ops and CatMan) 10'!AJ13:CQ13,1,0),TRUE,FALSE),FALSE)</f>
        <v>0</v>
      </c>
      <c r="Z13" s="200">
        <f>MIN(IF(AO13=Reference!$A$10,100000000,AK13),IF(AU13=Reference!$A$10,100000000,AQ13),IF(BA13=Reference!$A$10,100000000,AW13),IF(BG13=Reference!$A$10,100000000,BC13),IF(BM13=Reference!$A$10,100000000,BI13),IF(BS13=Reference!$A$10,100000000,BO13),IF(BY13=Reference!$A$10,100000000,BU13),IF(CE13=Reference!$A$10,100000000,CA13),IF(CK13=Reference!$A$10,100000000,CG13),IF(CQ13=Reference!$A$10,100000000,CM13))</f>
        <v>0</v>
      </c>
      <c r="AA13" s="200">
        <f t="shared" si="37"/>
        <v>0</v>
      </c>
      <c r="AB13" s="200">
        <f ca="1">IF(Reference!A20&gt;0,Reference!A20,MAX(IF(TODAY()-H13&lt;365,IF(G13&gt;=N13,G13,P13),P13),G13))</f>
        <v>0</v>
      </c>
      <c r="AC13" s="200">
        <f t="shared" ca="1" si="6"/>
        <v>0</v>
      </c>
      <c r="AD13" s="200">
        <f t="shared" ca="1" si="7"/>
        <v>0</v>
      </c>
      <c r="AE13" s="200">
        <f t="shared" ca="1" si="8"/>
        <v>0</v>
      </c>
      <c r="AF13" s="202" t="str">
        <f t="shared" ca="1" si="38"/>
        <v xml:space="preserve"> </v>
      </c>
      <c r="AG13" s="203">
        <f t="shared" si="9"/>
        <v>0</v>
      </c>
      <c r="AH13" s="204">
        <f t="shared" si="10"/>
        <v>0</v>
      </c>
      <c r="AI13" s="205">
        <f t="shared" si="11"/>
        <v>0</v>
      </c>
      <c r="AJ13" s="209"/>
      <c r="AK13" s="137"/>
      <c r="AL13" s="206">
        <f t="shared" si="12"/>
        <v>0</v>
      </c>
      <c r="AM13" s="207">
        <f t="shared" si="13"/>
        <v>0</v>
      </c>
      <c r="AN13" s="123"/>
      <c r="AO13" s="208"/>
      <c r="AP13" s="209"/>
      <c r="AQ13" s="137"/>
      <c r="AR13" s="206">
        <f t="shared" si="14"/>
        <v>0</v>
      </c>
      <c r="AS13" s="207">
        <f t="shared" si="15"/>
        <v>0</v>
      </c>
      <c r="AT13" s="123"/>
      <c r="AU13" s="208"/>
      <c r="AV13" s="209"/>
      <c r="AW13" s="137"/>
      <c r="AX13" s="206">
        <f t="shared" si="16"/>
        <v>0</v>
      </c>
      <c r="AY13" s="207">
        <f t="shared" si="17"/>
        <v>0</v>
      </c>
      <c r="AZ13" s="123"/>
      <c r="BA13" s="208"/>
      <c r="BB13" s="209"/>
      <c r="BC13" s="137"/>
      <c r="BD13" s="206">
        <f t="shared" si="39"/>
        <v>0</v>
      </c>
      <c r="BE13" s="207">
        <f t="shared" si="18"/>
        <v>0</v>
      </c>
      <c r="BF13" s="123"/>
      <c r="BG13" s="208"/>
      <c r="BH13" s="209"/>
      <c r="BI13" s="137"/>
      <c r="BJ13" s="206">
        <f t="shared" si="19"/>
        <v>0</v>
      </c>
      <c r="BK13" s="207">
        <f t="shared" si="20"/>
        <v>0</v>
      </c>
      <c r="BL13" s="123"/>
      <c r="BM13" s="208"/>
      <c r="BN13" s="209"/>
      <c r="BO13" s="137"/>
      <c r="BP13" s="206">
        <f t="shared" si="21"/>
        <v>0</v>
      </c>
      <c r="BQ13" s="207">
        <f t="shared" si="22"/>
        <v>0</v>
      </c>
      <c r="BR13" s="123"/>
      <c r="BS13" s="208"/>
      <c r="BT13" s="209"/>
      <c r="BU13" s="137"/>
      <c r="BV13" s="206">
        <f t="shared" si="23"/>
        <v>0</v>
      </c>
      <c r="BW13" s="207">
        <f t="shared" si="24"/>
        <v>0</v>
      </c>
      <c r="BX13" s="123"/>
      <c r="BY13" s="208"/>
      <c r="BZ13" s="209"/>
      <c r="CA13" s="137"/>
      <c r="CB13" s="206">
        <f t="shared" ref="CB13" si="44">IFERROR(CA13*$D13,0)</f>
        <v>0</v>
      </c>
      <c r="CC13" s="207">
        <f t="shared" si="26"/>
        <v>0</v>
      </c>
      <c r="CD13" s="123"/>
      <c r="CE13" s="208"/>
      <c r="CF13" s="209"/>
      <c r="CG13" s="137"/>
      <c r="CH13" s="206">
        <f t="shared" ref="CH13" si="45">IFERROR(CG13*$D13,0)</f>
        <v>0</v>
      </c>
      <c r="CI13" s="207">
        <f t="shared" si="28"/>
        <v>0</v>
      </c>
      <c r="CJ13" s="123"/>
      <c r="CK13" s="208"/>
      <c r="CL13" s="209"/>
      <c r="CM13" s="137"/>
      <c r="CN13" s="206">
        <f t="shared" ref="CN13" si="46">IFERROR(CM13*$D13,0)</f>
        <v>0</v>
      </c>
      <c r="CO13" s="207">
        <f t="shared" si="30"/>
        <v>0</v>
      </c>
      <c r="CP13" s="123"/>
      <c r="CQ13" s="208"/>
    </row>
    <row r="14" spans="1:95" s="118" customFormat="1" ht="15" x14ac:dyDescent="0.25">
      <c r="A14" s="119">
        <v>4</v>
      </c>
      <c r="B14" s="57"/>
      <c r="C14" s="120"/>
      <c r="D14" s="58"/>
      <c r="E14" s="124"/>
      <c r="F14" s="121"/>
      <c r="G14" s="60"/>
      <c r="H14" s="122"/>
      <c r="I14" s="200">
        <f t="shared" si="31"/>
        <v>0</v>
      </c>
      <c r="J14" s="60"/>
      <c r="K14" s="125"/>
      <c r="L14" s="233">
        <f t="shared" si="32"/>
        <v>0</v>
      </c>
      <c r="M14" s="232" t="str">
        <f t="shared" si="43"/>
        <v/>
      </c>
      <c r="N14" s="232">
        <f t="shared" si="33"/>
        <v>0</v>
      </c>
      <c r="O14" s="232">
        <f t="shared" si="34"/>
        <v>0</v>
      </c>
      <c r="P14" s="232">
        <f>MIN(IF($AO14=Reference!$A$10,100000000,AJ14),IF($AU14=Reference!$A$10,100000000,AP14),IF($BA14=Reference!$A$10,100000000,AV14),IF($BG14=Reference!$A$10,100000000,BB14),IF($BM14=Reference!$A$10,100000000,BH14),IF($BS14=Reference!$A$10,100000000,BN14),IF($BY14=Reference!$A$10,100000000,BT14),IF($CE14=Reference!$A$10,100000000,BZ14),IF($CK14=Reference!$A$10,100000000,CF14),IF($CQ14=Reference!$A$10,100000000,CL14))</f>
        <v>0</v>
      </c>
      <c r="Q14" s="200" t="b">
        <f t="shared" si="1"/>
        <v>0</v>
      </c>
      <c r="R14" s="251">
        <f t="shared" si="2"/>
        <v>0</v>
      </c>
      <c r="S14" s="200" t="b">
        <f t="shared" si="35"/>
        <v>1</v>
      </c>
      <c r="T14" s="200" t="str">
        <f t="shared" si="3"/>
        <v/>
      </c>
      <c r="U14" s="252" t="str">
        <f t="shared" si="4"/>
        <v/>
      </c>
      <c r="V14" s="200" t="b">
        <f t="shared" si="5"/>
        <v>1</v>
      </c>
      <c r="W14" s="200" t="str">
        <f t="shared" si="36"/>
        <v>VENDOR 1</v>
      </c>
      <c r="X14" s="200">
        <f>IF(AO14=Reference!$A$8,'Bid Tab (F&amp;B Ops and CatMan) 10'!AK14,IF('Bid Tab (F&amp;B Ops and CatMan) 10'!AU14=Reference!$A$8,'Bid Tab (F&amp;B Ops and CatMan) 10'!AQ14,IF('Bid Tab (F&amp;B Ops and CatMan) 10'!BA14=Reference!$A$8,'Bid Tab (F&amp;B Ops and CatMan) 10'!AW14,IF('Bid Tab (F&amp;B Ops and CatMan) 10'!BG14=Reference!$A$8,'Bid Tab (F&amp;B Ops and CatMan) 10'!BC14,IF('Bid Tab (F&amp;B Ops and CatMan) 10'!BM14=Reference!$A$8,'Bid Tab (F&amp;B Ops and CatMan) 10'!BI14,IF('Bid Tab (F&amp;B Ops and CatMan) 10'!BS14=Reference!$A$8,'Bid Tab (F&amp;B Ops and CatMan) 10'!BO14,IF('Bid Tab (F&amp;B Ops and CatMan) 10'!BY14=Reference!$A$8,'Bid Tab (F&amp;B Ops and CatMan) 10'!BU14,IF('Bid Tab (F&amp;B Ops and CatMan) 10'!CE14=Reference!$A$8,'Bid Tab (F&amp;B Ops and CatMan) 10'!CA14,IF('Bid Tab (F&amp;B Ops and CatMan) 10'!CK14=Reference!$A$8,'Bid Tab (F&amp;B Ops and CatMan) 10'!CG14,IF('Bid Tab (F&amp;B Ops and CatMan) 10'!CQ14=Reference!$A$8,'Bid Tab (F&amp;B Ops and CatMan) 10'!CM14,0))))))))))</f>
        <v>0</v>
      </c>
      <c r="Y14" s="200" t="b">
        <f>IFERROR(IF(Reference!$A$8=HLOOKUP(Reference!$A$8,'Bid Tab (F&amp;B Ops and CatMan) 10'!AJ14:CQ14,1,0),TRUE,FALSE),FALSE)</f>
        <v>0</v>
      </c>
      <c r="Z14" s="200">
        <f>MIN(IF(AO14=Reference!$A$10,100000000,AK14),IF(AU14=Reference!$A$10,100000000,AQ14),IF(BA14=Reference!$A$10,100000000,AW14),IF(BG14=Reference!$A$10,100000000,BC14),IF(BM14=Reference!$A$10,100000000,BI14),IF(BS14=Reference!$A$10,100000000,BO14),IF(BY14=Reference!$A$10,100000000,BU14),IF(CE14=Reference!$A$10,100000000,CA14),IF(CK14=Reference!$A$10,100000000,CG14),IF(CQ14=Reference!$A$10,100000000,CM14))</f>
        <v>0</v>
      </c>
      <c r="AA14" s="200">
        <f t="shared" si="37"/>
        <v>0</v>
      </c>
      <c r="AB14" s="200">
        <f ca="1">IF(Reference!A21&gt;0,Reference!A21,MAX(IF(TODAY()-H14&lt;365,IF(G14&gt;=N14,G14,P14),P14),G14))</f>
        <v>0</v>
      </c>
      <c r="AC14" s="200">
        <f t="shared" ca="1" si="6"/>
        <v>0</v>
      </c>
      <c r="AD14" s="200">
        <f t="shared" ca="1" si="7"/>
        <v>0</v>
      </c>
      <c r="AE14" s="200">
        <f t="shared" ca="1" si="8"/>
        <v>0</v>
      </c>
      <c r="AF14" s="202" t="str">
        <f t="shared" ca="1" si="38"/>
        <v xml:space="preserve"> </v>
      </c>
      <c r="AG14" s="203">
        <f t="shared" si="9"/>
        <v>0</v>
      </c>
      <c r="AH14" s="204">
        <f t="shared" si="10"/>
        <v>0</v>
      </c>
      <c r="AI14" s="205">
        <f t="shared" si="11"/>
        <v>0</v>
      </c>
      <c r="AJ14" s="209"/>
      <c r="AK14" s="137"/>
      <c r="AL14" s="206">
        <f t="shared" si="12"/>
        <v>0</v>
      </c>
      <c r="AM14" s="207">
        <f t="shared" si="13"/>
        <v>0</v>
      </c>
      <c r="AN14" s="123"/>
      <c r="AO14" s="208"/>
      <c r="AP14" s="209"/>
      <c r="AQ14" s="137"/>
      <c r="AR14" s="206">
        <f t="shared" si="14"/>
        <v>0</v>
      </c>
      <c r="AS14" s="207">
        <f t="shared" si="15"/>
        <v>0</v>
      </c>
      <c r="AT14" s="123"/>
      <c r="AU14" s="208"/>
      <c r="AV14" s="209"/>
      <c r="AW14" s="137"/>
      <c r="AX14" s="206">
        <f t="shared" si="16"/>
        <v>0</v>
      </c>
      <c r="AY14" s="207">
        <f t="shared" si="17"/>
        <v>0</v>
      </c>
      <c r="AZ14" s="123"/>
      <c r="BA14" s="208"/>
      <c r="BB14" s="209"/>
      <c r="BC14" s="137"/>
      <c r="BD14" s="206">
        <f t="shared" si="39"/>
        <v>0</v>
      </c>
      <c r="BE14" s="207">
        <f t="shared" si="18"/>
        <v>0</v>
      </c>
      <c r="BF14" s="123"/>
      <c r="BG14" s="208"/>
      <c r="BH14" s="209"/>
      <c r="BI14" s="137"/>
      <c r="BJ14" s="206">
        <f t="shared" si="19"/>
        <v>0</v>
      </c>
      <c r="BK14" s="207">
        <f t="shared" si="20"/>
        <v>0</v>
      </c>
      <c r="BL14" s="123"/>
      <c r="BM14" s="208"/>
      <c r="BN14" s="209"/>
      <c r="BO14" s="137"/>
      <c r="BP14" s="206">
        <f t="shared" si="21"/>
        <v>0</v>
      </c>
      <c r="BQ14" s="207">
        <f t="shared" si="22"/>
        <v>0</v>
      </c>
      <c r="BR14" s="123"/>
      <c r="BS14" s="208"/>
      <c r="BT14" s="209"/>
      <c r="BU14" s="137"/>
      <c r="BV14" s="206">
        <f t="shared" si="23"/>
        <v>0</v>
      </c>
      <c r="BW14" s="207">
        <f t="shared" si="24"/>
        <v>0</v>
      </c>
      <c r="BX14" s="123"/>
      <c r="BY14" s="208"/>
      <c r="BZ14" s="209"/>
      <c r="CA14" s="137"/>
      <c r="CB14" s="206">
        <f t="shared" ref="CB14" si="47">IFERROR(CA14*$D14,0)</f>
        <v>0</v>
      </c>
      <c r="CC14" s="207">
        <f t="shared" si="26"/>
        <v>0</v>
      </c>
      <c r="CD14" s="123"/>
      <c r="CE14" s="208"/>
      <c r="CF14" s="209"/>
      <c r="CG14" s="137"/>
      <c r="CH14" s="206">
        <f t="shared" ref="CH14" si="48">IFERROR(CG14*$D14,0)</f>
        <v>0</v>
      </c>
      <c r="CI14" s="207">
        <f t="shared" si="28"/>
        <v>0</v>
      </c>
      <c r="CJ14" s="123"/>
      <c r="CK14" s="208"/>
      <c r="CL14" s="209"/>
      <c r="CM14" s="137"/>
      <c r="CN14" s="206">
        <f t="shared" ref="CN14" si="49">IFERROR(CM14*$D14,0)</f>
        <v>0</v>
      </c>
      <c r="CO14" s="207">
        <f t="shared" si="30"/>
        <v>0</v>
      </c>
      <c r="CP14" s="123"/>
      <c r="CQ14" s="208"/>
    </row>
    <row r="15" spans="1:95" s="118" customFormat="1" ht="15" x14ac:dyDescent="0.25">
      <c r="A15" s="119">
        <v>5</v>
      </c>
      <c r="B15" s="57"/>
      <c r="C15" s="120"/>
      <c r="D15" s="58"/>
      <c r="E15" s="124"/>
      <c r="F15" s="121"/>
      <c r="G15" s="60"/>
      <c r="H15" s="122"/>
      <c r="I15" s="200">
        <f t="shared" si="31"/>
        <v>0</v>
      </c>
      <c r="J15" s="60"/>
      <c r="K15" s="125"/>
      <c r="L15" s="233">
        <f t="shared" si="32"/>
        <v>0</v>
      </c>
      <c r="M15" s="232" t="str">
        <f t="shared" si="43"/>
        <v/>
      </c>
      <c r="N15" s="232">
        <f t="shared" si="33"/>
        <v>0</v>
      </c>
      <c r="O15" s="232">
        <f t="shared" si="34"/>
        <v>0</v>
      </c>
      <c r="P15" s="232">
        <f>MIN(IF($AO15=Reference!$A$10,100000000,AJ15),IF($AU15=Reference!$A$10,100000000,AP15),IF($BA15=Reference!$A$10,100000000,AV15),IF($BG15=Reference!$A$10,100000000,BB15),IF($BM15=Reference!$A$10,100000000,BH15),IF($BS15=Reference!$A$10,100000000,BN15),IF($BY15=Reference!$A$10,100000000,BT15),IF($CE15=Reference!$A$10,100000000,BZ15),IF($CK15=Reference!$A$10,100000000,CF15),IF($CQ15=Reference!$A$10,100000000,CL15))</f>
        <v>0</v>
      </c>
      <c r="Q15" s="200" t="b">
        <f t="shared" si="1"/>
        <v>0</v>
      </c>
      <c r="R15" s="251">
        <f t="shared" si="2"/>
        <v>0</v>
      </c>
      <c r="S15" s="200" t="b">
        <f t="shared" si="35"/>
        <v>1</v>
      </c>
      <c r="T15" s="200" t="str">
        <f t="shared" si="3"/>
        <v/>
      </c>
      <c r="U15" s="252" t="str">
        <f t="shared" si="4"/>
        <v/>
      </c>
      <c r="V15" s="200" t="b">
        <f t="shared" si="5"/>
        <v>1</v>
      </c>
      <c r="W15" s="200" t="str">
        <f t="shared" si="36"/>
        <v>VENDOR 1</v>
      </c>
      <c r="X15" s="200">
        <f>IF(AO15=Reference!$A$8,'Bid Tab (F&amp;B Ops and CatMan) 10'!AK15,IF('Bid Tab (F&amp;B Ops and CatMan) 10'!AU15=Reference!$A$8,'Bid Tab (F&amp;B Ops and CatMan) 10'!AQ15,IF('Bid Tab (F&amp;B Ops and CatMan) 10'!BA15=Reference!$A$8,'Bid Tab (F&amp;B Ops and CatMan) 10'!AW15,IF('Bid Tab (F&amp;B Ops and CatMan) 10'!BG15=Reference!$A$8,'Bid Tab (F&amp;B Ops and CatMan) 10'!BC15,IF('Bid Tab (F&amp;B Ops and CatMan) 10'!BM15=Reference!$A$8,'Bid Tab (F&amp;B Ops and CatMan) 10'!BI15,IF('Bid Tab (F&amp;B Ops and CatMan) 10'!BS15=Reference!$A$8,'Bid Tab (F&amp;B Ops and CatMan) 10'!BO15,IF('Bid Tab (F&amp;B Ops and CatMan) 10'!BY15=Reference!$A$8,'Bid Tab (F&amp;B Ops and CatMan) 10'!BU15,IF('Bid Tab (F&amp;B Ops and CatMan) 10'!CE15=Reference!$A$8,'Bid Tab (F&amp;B Ops and CatMan) 10'!CA15,IF('Bid Tab (F&amp;B Ops and CatMan) 10'!CK15=Reference!$A$8,'Bid Tab (F&amp;B Ops and CatMan) 10'!CG15,IF('Bid Tab (F&amp;B Ops and CatMan) 10'!CQ15=Reference!$A$8,'Bid Tab (F&amp;B Ops and CatMan) 10'!CM15,0))))))))))</f>
        <v>0</v>
      </c>
      <c r="Y15" s="200" t="b">
        <f>IFERROR(IF(Reference!$A$8=HLOOKUP(Reference!$A$8,'Bid Tab (F&amp;B Ops and CatMan) 10'!AJ15:CQ15,1,0),TRUE,FALSE),FALSE)</f>
        <v>0</v>
      </c>
      <c r="Z15" s="200">
        <f>MIN(IF(AO15=Reference!$A$10,100000000,AK15),IF(AU15=Reference!$A$10,100000000,AQ15),IF(BA15=Reference!$A$10,100000000,AW15),IF(BG15=Reference!$A$10,100000000,BC15),IF(BM15=Reference!$A$10,100000000,BI15),IF(BS15=Reference!$A$10,100000000,BO15),IF(BY15=Reference!$A$10,100000000,BU15),IF(CE15=Reference!$A$10,100000000,CA15),IF(CK15=Reference!$A$10,100000000,CG15),IF(CQ15=Reference!$A$10,100000000,CM15))</f>
        <v>0</v>
      </c>
      <c r="AA15" s="200">
        <f t="shared" si="37"/>
        <v>0</v>
      </c>
      <c r="AB15" s="200">
        <f ca="1">IF(Reference!A22&gt;0,Reference!A22,MAX(IF(TODAY()-H15&lt;365,IF(G15&gt;=N15,G15,P15),P15),G15))</f>
        <v>0</v>
      </c>
      <c r="AC15" s="200">
        <f t="shared" ca="1" si="6"/>
        <v>0</v>
      </c>
      <c r="AD15" s="200">
        <f t="shared" ca="1" si="7"/>
        <v>0</v>
      </c>
      <c r="AE15" s="200">
        <f t="shared" ca="1" si="8"/>
        <v>0</v>
      </c>
      <c r="AF15" s="202" t="str">
        <f t="shared" ca="1" si="38"/>
        <v xml:space="preserve"> </v>
      </c>
      <c r="AG15" s="203">
        <f t="shared" si="9"/>
        <v>0</v>
      </c>
      <c r="AH15" s="204">
        <f t="shared" si="10"/>
        <v>0</v>
      </c>
      <c r="AI15" s="205">
        <f t="shared" si="11"/>
        <v>0</v>
      </c>
      <c r="AJ15" s="209"/>
      <c r="AK15" s="137"/>
      <c r="AL15" s="206">
        <f t="shared" si="12"/>
        <v>0</v>
      </c>
      <c r="AM15" s="207">
        <f t="shared" si="13"/>
        <v>0</v>
      </c>
      <c r="AN15" s="123"/>
      <c r="AO15" s="208"/>
      <c r="AP15" s="209"/>
      <c r="AQ15" s="137"/>
      <c r="AR15" s="206">
        <f t="shared" si="14"/>
        <v>0</v>
      </c>
      <c r="AS15" s="207">
        <f t="shared" si="15"/>
        <v>0</v>
      </c>
      <c r="AT15" s="123"/>
      <c r="AU15" s="208"/>
      <c r="AV15" s="209"/>
      <c r="AW15" s="137"/>
      <c r="AX15" s="206">
        <f t="shared" si="16"/>
        <v>0</v>
      </c>
      <c r="AY15" s="207">
        <f t="shared" si="17"/>
        <v>0</v>
      </c>
      <c r="AZ15" s="123"/>
      <c r="BA15" s="208"/>
      <c r="BB15" s="209"/>
      <c r="BC15" s="137"/>
      <c r="BD15" s="206">
        <f t="shared" si="39"/>
        <v>0</v>
      </c>
      <c r="BE15" s="207">
        <f t="shared" si="18"/>
        <v>0</v>
      </c>
      <c r="BF15" s="123"/>
      <c r="BG15" s="208"/>
      <c r="BH15" s="209"/>
      <c r="BI15" s="137"/>
      <c r="BJ15" s="206">
        <f t="shared" si="19"/>
        <v>0</v>
      </c>
      <c r="BK15" s="207">
        <f t="shared" si="20"/>
        <v>0</v>
      </c>
      <c r="BL15" s="123"/>
      <c r="BM15" s="208"/>
      <c r="BN15" s="209"/>
      <c r="BO15" s="137"/>
      <c r="BP15" s="206">
        <f t="shared" si="21"/>
        <v>0</v>
      </c>
      <c r="BQ15" s="207">
        <f t="shared" si="22"/>
        <v>0</v>
      </c>
      <c r="BR15" s="123"/>
      <c r="BS15" s="208"/>
      <c r="BT15" s="209"/>
      <c r="BU15" s="137"/>
      <c r="BV15" s="206">
        <f t="shared" si="23"/>
        <v>0</v>
      </c>
      <c r="BW15" s="207">
        <f t="shared" si="24"/>
        <v>0</v>
      </c>
      <c r="BX15" s="123"/>
      <c r="BY15" s="208"/>
      <c r="BZ15" s="209"/>
      <c r="CA15" s="137"/>
      <c r="CB15" s="206">
        <f t="shared" ref="CB15" si="50">IFERROR(CA15*$D15,0)</f>
        <v>0</v>
      </c>
      <c r="CC15" s="207">
        <f t="shared" si="26"/>
        <v>0</v>
      </c>
      <c r="CD15" s="123"/>
      <c r="CE15" s="208"/>
      <c r="CF15" s="209"/>
      <c r="CG15" s="137"/>
      <c r="CH15" s="206">
        <f t="shared" ref="CH15" si="51">IFERROR(CG15*$D15,0)</f>
        <v>0</v>
      </c>
      <c r="CI15" s="207">
        <f t="shared" si="28"/>
        <v>0</v>
      </c>
      <c r="CJ15" s="123"/>
      <c r="CK15" s="208"/>
      <c r="CL15" s="209"/>
      <c r="CM15" s="137"/>
      <c r="CN15" s="206">
        <f t="shared" ref="CN15" si="52">IFERROR(CM15*$D15,0)</f>
        <v>0</v>
      </c>
      <c r="CO15" s="207">
        <f t="shared" si="30"/>
        <v>0</v>
      </c>
      <c r="CP15" s="123"/>
      <c r="CQ15" s="208"/>
    </row>
    <row r="16" spans="1:95" s="118" customFormat="1" ht="15" x14ac:dyDescent="0.25">
      <c r="A16" s="119">
        <v>6</v>
      </c>
      <c r="B16" s="57"/>
      <c r="C16" s="120"/>
      <c r="D16" s="58"/>
      <c r="E16" s="124"/>
      <c r="F16" s="121"/>
      <c r="G16" s="60"/>
      <c r="H16" s="122"/>
      <c r="I16" s="200">
        <f t="shared" si="31"/>
        <v>0</v>
      </c>
      <c r="J16" s="60"/>
      <c r="K16" s="125"/>
      <c r="L16" s="233">
        <f t="shared" si="32"/>
        <v>0</v>
      </c>
      <c r="M16" s="232" t="str">
        <f t="shared" si="43"/>
        <v/>
      </c>
      <c r="N16" s="232">
        <f t="shared" si="33"/>
        <v>0</v>
      </c>
      <c r="O16" s="232">
        <f t="shared" si="34"/>
        <v>0</v>
      </c>
      <c r="P16" s="232">
        <f>MIN(IF($AO16=Reference!$A$10,100000000,AJ16),IF($AU16=Reference!$A$10,100000000,AP16),IF($BA16=Reference!$A$10,100000000,AV16),IF($BG16=Reference!$A$10,100000000,BB16),IF($BM16=Reference!$A$10,100000000,BH16),IF($BS16=Reference!$A$10,100000000,BN16),IF($BY16=Reference!$A$10,100000000,BT16),IF($CE16=Reference!$A$10,100000000,BZ16),IF($CK16=Reference!$A$10,100000000,CF16),IF($CQ16=Reference!$A$10,100000000,CL16))</f>
        <v>0</v>
      </c>
      <c r="Q16" s="200" t="b">
        <f t="shared" si="1"/>
        <v>0</v>
      </c>
      <c r="R16" s="251">
        <f t="shared" si="2"/>
        <v>0</v>
      </c>
      <c r="S16" s="200" t="b">
        <f t="shared" si="35"/>
        <v>1</v>
      </c>
      <c r="T16" s="200" t="str">
        <f t="shared" si="3"/>
        <v/>
      </c>
      <c r="U16" s="252" t="str">
        <f t="shared" si="4"/>
        <v/>
      </c>
      <c r="V16" s="200" t="b">
        <f t="shared" si="5"/>
        <v>1</v>
      </c>
      <c r="W16" s="200" t="str">
        <f t="shared" si="36"/>
        <v>VENDOR 1</v>
      </c>
      <c r="X16" s="200">
        <f>IF(AO16=Reference!$A$8,'Bid Tab (F&amp;B Ops and CatMan) 10'!AK16,IF('Bid Tab (F&amp;B Ops and CatMan) 10'!AU16=Reference!$A$8,'Bid Tab (F&amp;B Ops and CatMan) 10'!AQ16,IF('Bid Tab (F&amp;B Ops and CatMan) 10'!BA16=Reference!$A$8,'Bid Tab (F&amp;B Ops and CatMan) 10'!AW16,IF('Bid Tab (F&amp;B Ops and CatMan) 10'!BG16=Reference!$A$8,'Bid Tab (F&amp;B Ops and CatMan) 10'!BC16,IF('Bid Tab (F&amp;B Ops and CatMan) 10'!BM16=Reference!$A$8,'Bid Tab (F&amp;B Ops and CatMan) 10'!BI16,IF('Bid Tab (F&amp;B Ops and CatMan) 10'!BS16=Reference!$A$8,'Bid Tab (F&amp;B Ops and CatMan) 10'!BO16,IF('Bid Tab (F&amp;B Ops and CatMan) 10'!BY16=Reference!$A$8,'Bid Tab (F&amp;B Ops and CatMan) 10'!BU16,IF('Bid Tab (F&amp;B Ops and CatMan) 10'!CE16=Reference!$A$8,'Bid Tab (F&amp;B Ops and CatMan) 10'!CA16,IF('Bid Tab (F&amp;B Ops and CatMan) 10'!CK16=Reference!$A$8,'Bid Tab (F&amp;B Ops and CatMan) 10'!CG16,IF('Bid Tab (F&amp;B Ops and CatMan) 10'!CQ16=Reference!$A$8,'Bid Tab (F&amp;B Ops and CatMan) 10'!CM16,0))))))))))</f>
        <v>0</v>
      </c>
      <c r="Y16" s="200" t="b">
        <f>IFERROR(IF(Reference!$A$8=HLOOKUP(Reference!$A$8,'Bid Tab (F&amp;B Ops and CatMan) 10'!AJ16:CQ16,1,0),TRUE,FALSE),FALSE)</f>
        <v>0</v>
      </c>
      <c r="Z16" s="200">
        <f>MIN(IF(AO16=Reference!$A$10,100000000,AK16),IF(AU16=Reference!$A$10,100000000,AQ16),IF(BA16=Reference!$A$10,100000000,AW16),IF(BG16=Reference!$A$10,100000000,BC16),IF(BM16=Reference!$A$10,100000000,BI16),IF(BS16=Reference!$A$10,100000000,BO16),IF(BY16=Reference!$A$10,100000000,BU16),IF(CE16=Reference!$A$10,100000000,CA16),IF(CK16=Reference!$A$10,100000000,CG16),IF(CQ16=Reference!$A$10,100000000,CM16))</f>
        <v>0</v>
      </c>
      <c r="AA16" s="200">
        <f t="shared" si="37"/>
        <v>0</v>
      </c>
      <c r="AB16" s="200">
        <f ca="1">IF(Reference!A23&gt;0,Reference!A23,MAX(IF(TODAY()-H16&lt;365,IF(G16&gt;=N16,G16,P16),P16),G16))</f>
        <v>0</v>
      </c>
      <c r="AC16" s="200">
        <f t="shared" ca="1" si="6"/>
        <v>0</v>
      </c>
      <c r="AD16" s="200">
        <f t="shared" ca="1" si="7"/>
        <v>0</v>
      </c>
      <c r="AE16" s="200">
        <f t="shared" ca="1" si="8"/>
        <v>0</v>
      </c>
      <c r="AF16" s="202" t="str">
        <f t="shared" ca="1" si="38"/>
        <v xml:space="preserve"> </v>
      </c>
      <c r="AG16" s="203">
        <f t="shared" si="9"/>
        <v>0</v>
      </c>
      <c r="AH16" s="204">
        <f t="shared" si="10"/>
        <v>0</v>
      </c>
      <c r="AI16" s="205">
        <f t="shared" si="11"/>
        <v>0</v>
      </c>
      <c r="AJ16" s="209"/>
      <c r="AK16" s="137"/>
      <c r="AL16" s="206">
        <f t="shared" si="12"/>
        <v>0</v>
      </c>
      <c r="AM16" s="207">
        <f t="shared" si="13"/>
        <v>0</v>
      </c>
      <c r="AN16" s="123"/>
      <c r="AO16" s="208"/>
      <c r="AP16" s="209"/>
      <c r="AQ16" s="137"/>
      <c r="AR16" s="206">
        <f t="shared" si="14"/>
        <v>0</v>
      </c>
      <c r="AS16" s="207">
        <f t="shared" si="15"/>
        <v>0</v>
      </c>
      <c r="AT16" s="123"/>
      <c r="AU16" s="208"/>
      <c r="AV16" s="209"/>
      <c r="AW16" s="137"/>
      <c r="AX16" s="206">
        <f t="shared" si="16"/>
        <v>0</v>
      </c>
      <c r="AY16" s="207">
        <f t="shared" si="17"/>
        <v>0</v>
      </c>
      <c r="AZ16" s="123"/>
      <c r="BA16" s="208"/>
      <c r="BB16" s="209"/>
      <c r="BC16" s="137"/>
      <c r="BD16" s="206">
        <f t="shared" si="39"/>
        <v>0</v>
      </c>
      <c r="BE16" s="207">
        <f t="shared" si="18"/>
        <v>0</v>
      </c>
      <c r="BF16" s="123"/>
      <c r="BG16" s="208"/>
      <c r="BH16" s="209"/>
      <c r="BI16" s="137"/>
      <c r="BJ16" s="206">
        <f t="shared" si="19"/>
        <v>0</v>
      </c>
      <c r="BK16" s="207">
        <f t="shared" si="20"/>
        <v>0</v>
      </c>
      <c r="BL16" s="123"/>
      <c r="BM16" s="208"/>
      <c r="BN16" s="209"/>
      <c r="BO16" s="137"/>
      <c r="BP16" s="206">
        <f t="shared" si="21"/>
        <v>0</v>
      </c>
      <c r="BQ16" s="207">
        <f t="shared" si="22"/>
        <v>0</v>
      </c>
      <c r="BR16" s="123"/>
      <c r="BS16" s="208"/>
      <c r="BT16" s="209"/>
      <c r="BU16" s="137"/>
      <c r="BV16" s="206">
        <f t="shared" si="23"/>
        <v>0</v>
      </c>
      <c r="BW16" s="207">
        <f t="shared" si="24"/>
        <v>0</v>
      </c>
      <c r="BX16" s="123"/>
      <c r="BY16" s="208"/>
      <c r="BZ16" s="209"/>
      <c r="CA16" s="137"/>
      <c r="CB16" s="206">
        <f t="shared" ref="CB16" si="53">IFERROR(CA16*$D16,0)</f>
        <v>0</v>
      </c>
      <c r="CC16" s="207">
        <f t="shared" si="26"/>
        <v>0</v>
      </c>
      <c r="CD16" s="123"/>
      <c r="CE16" s="208"/>
      <c r="CF16" s="209"/>
      <c r="CG16" s="137"/>
      <c r="CH16" s="206">
        <f t="shared" ref="CH16" si="54">IFERROR(CG16*$D16,0)</f>
        <v>0</v>
      </c>
      <c r="CI16" s="207">
        <f t="shared" si="28"/>
        <v>0</v>
      </c>
      <c r="CJ16" s="123"/>
      <c r="CK16" s="208"/>
      <c r="CL16" s="209"/>
      <c r="CM16" s="137"/>
      <c r="CN16" s="206">
        <f t="shared" ref="CN16" si="55">IFERROR(CM16*$D16,0)</f>
        <v>0</v>
      </c>
      <c r="CO16" s="207">
        <f t="shared" si="30"/>
        <v>0</v>
      </c>
      <c r="CP16" s="123"/>
      <c r="CQ16" s="208"/>
    </row>
    <row r="17" spans="1:95" s="118" customFormat="1" ht="15" x14ac:dyDescent="0.25">
      <c r="A17" s="119">
        <v>7</v>
      </c>
      <c r="B17" s="57"/>
      <c r="C17" s="120"/>
      <c r="D17" s="58"/>
      <c r="E17" s="124"/>
      <c r="F17" s="121"/>
      <c r="G17" s="60"/>
      <c r="H17" s="122"/>
      <c r="I17" s="200">
        <f t="shared" si="31"/>
        <v>0</v>
      </c>
      <c r="J17" s="60"/>
      <c r="K17" s="125"/>
      <c r="L17" s="233">
        <f t="shared" si="32"/>
        <v>0</v>
      </c>
      <c r="M17" s="232" t="str">
        <f t="shared" si="43"/>
        <v/>
      </c>
      <c r="N17" s="232">
        <f t="shared" si="33"/>
        <v>0</v>
      </c>
      <c r="O17" s="232">
        <f t="shared" si="34"/>
        <v>0</v>
      </c>
      <c r="P17" s="232">
        <f>MIN(IF($AO17=Reference!$A$10,100000000,AJ17),IF($AU17=Reference!$A$10,100000000,AP17),IF($BA17=Reference!$A$10,100000000,AV17),IF($BG17=Reference!$A$10,100000000,BB17),IF($BM17=Reference!$A$10,100000000,BH17),IF($BS17=Reference!$A$10,100000000,BN17),IF($BY17=Reference!$A$10,100000000,BT17),IF($CE17=Reference!$A$10,100000000,BZ17),IF($CK17=Reference!$A$10,100000000,CF17),IF($CQ17=Reference!$A$10,100000000,CL17))</f>
        <v>0</v>
      </c>
      <c r="Q17" s="200" t="b">
        <f t="shared" si="1"/>
        <v>0</v>
      </c>
      <c r="R17" s="251">
        <f t="shared" si="2"/>
        <v>0</v>
      </c>
      <c r="S17" s="200" t="b">
        <f t="shared" si="35"/>
        <v>1</v>
      </c>
      <c r="T17" s="200" t="str">
        <f t="shared" si="3"/>
        <v/>
      </c>
      <c r="U17" s="252" t="str">
        <f t="shared" si="4"/>
        <v/>
      </c>
      <c r="V17" s="200" t="b">
        <f t="shared" si="5"/>
        <v>1</v>
      </c>
      <c r="W17" s="200" t="str">
        <f t="shared" si="36"/>
        <v>VENDOR 1</v>
      </c>
      <c r="X17" s="200">
        <f>IF(AO17=Reference!$A$8,'Bid Tab (F&amp;B Ops and CatMan) 10'!AK17,IF('Bid Tab (F&amp;B Ops and CatMan) 10'!AU17=Reference!$A$8,'Bid Tab (F&amp;B Ops and CatMan) 10'!AQ17,IF('Bid Tab (F&amp;B Ops and CatMan) 10'!BA17=Reference!$A$8,'Bid Tab (F&amp;B Ops and CatMan) 10'!AW17,IF('Bid Tab (F&amp;B Ops and CatMan) 10'!BG17=Reference!$A$8,'Bid Tab (F&amp;B Ops and CatMan) 10'!BC17,IF('Bid Tab (F&amp;B Ops and CatMan) 10'!BM17=Reference!$A$8,'Bid Tab (F&amp;B Ops and CatMan) 10'!BI17,IF('Bid Tab (F&amp;B Ops and CatMan) 10'!BS17=Reference!$A$8,'Bid Tab (F&amp;B Ops and CatMan) 10'!BO17,IF('Bid Tab (F&amp;B Ops and CatMan) 10'!BY17=Reference!$A$8,'Bid Tab (F&amp;B Ops and CatMan) 10'!BU17,IF('Bid Tab (F&amp;B Ops and CatMan) 10'!CE17=Reference!$A$8,'Bid Tab (F&amp;B Ops and CatMan) 10'!CA17,IF('Bid Tab (F&amp;B Ops and CatMan) 10'!CK17=Reference!$A$8,'Bid Tab (F&amp;B Ops and CatMan) 10'!CG17,IF('Bid Tab (F&amp;B Ops and CatMan) 10'!CQ17=Reference!$A$8,'Bid Tab (F&amp;B Ops and CatMan) 10'!CM17,0))))))))))</f>
        <v>0</v>
      </c>
      <c r="Y17" s="200" t="b">
        <f>IFERROR(IF(Reference!$A$8=HLOOKUP(Reference!$A$8,'Bid Tab (F&amp;B Ops and CatMan) 10'!AJ17:CQ17,1,0),TRUE,FALSE),FALSE)</f>
        <v>0</v>
      </c>
      <c r="Z17" s="200">
        <f>MIN(IF(AO17=Reference!$A$10,100000000,AK17),IF(AU17=Reference!$A$10,100000000,AQ17),IF(BA17=Reference!$A$10,100000000,AW17),IF(BG17=Reference!$A$10,100000000,BC17),IF(BM17=Reference!$A$10,100000000,BI17),IF(BS17=Reference!$A$10,100000000,BO17),IF(BY17=Reference!$A$10,100000000,BU17),IF(CE17=Reference!$A$10,100000000,CA17),IF(CK17=Reference!$A$10,100000000,CG17),IF(CQ17=Reference!$A$10,100000000,CM17))</f>
        <v>0</v>
      </c>
      <c r="AA17" s="200">
        <f t="shared" si="37"/>
        <v>0</v>
      </c>
      <c r="AB17" s="200">
        <f ca="1">IF(Reference!A24&gt;0,Reference!A24,MAX(IF(TODAY()-H17&lt;365,IF(G17&gt;=N17,G17,P17),P17),G17))</f>
        <v>0</v>
      </c>
      <c r="AC17" s="200">
        <f t="shared" ca="1" si="6"/>
        <v>0</v>
      </c>
      <c r="AD17" s="200">
        <f t="shared" ca="1" si="7"/>
        <v>0</v>
      </c>
      <c r="AE17" s="200">
        <f t="shared" ca="1" si="8"/>
        <v>0</v>
      </c>
      <c r="AF17" s="202" t="str">
        <f t="shared" ca="1" si="38"/>
        <v xml:space="preserve"> </v>
      </c>
      <c r="AG17" s="203">
        <f t="shared" si="9"/>
        <v>0</v>
      </c>
      <c r="AH17" s="204">
        <f t="shared" si="10"/>
        <v>0</v>
      </c>
      <c r="AI17" s="205">
        <f t="shared" si="11"/>
        <v>0</v>
      </c>
      <c r="AJ17" s="209"/>
      <c r="AK17" s="137"/>
      <c r="AL17" s="206">
        <f t="shared" si="12"/>
        <v>0</v>
      </c>
      <c r="AM17" s="207">
        <f t="shared" si="13"/>
        <v>0</v>
      </c>
      <c r="AN17" s="123"/>
      <c r="AO17" s="208"/>
      <c r="AP17" s="209"/>
      <c r="AQ17" s="137"/>
      <c r="AR17" s="206">
        <f t="shared" si="14"/>
        <v>0</v>
      </c>
      <c r="AS17" s="207">
        <f t="shared" si="15"/>
        <v>0</v>
      </c>
      <c r="AT17" s="123"/>
      <c r="AU17" s="208"/>
      <c r="AV17" s="209"/>
      <c r="AW17" s="137"/>
      <c r="AX17" s="206">
        <f t="shared" si="16"/>
        <v>0</v>
      </c>
      <c r="AY17" s="207">
        <f t="shared" si="17"/>
        <v>0</v>
      </c>
      <c r="AZ17" s="123"/>
      <c r="BA17" s="208"/>
      <c r="BB17" s="209"/>
      <c r="BC17" s="137"/>
      <c r="BD17" s="206">
        <f t="shared" si="39"/>
        <v>0</v>
      </c>
      <c r="BE17" s="207">
        <f t="shared" si="18"/>
        <v>0</v>
      </c>
      <c r="BF17" s="123"/>
      <c r="BG17" s="208"/>
      <c r="BH17" s="209"/>
      <c r="BI17" s="137"/>
      <c r="BJ17" s="206">
        <f t="shared" si="19"/>
        <v>0</v>
      </c>
      <c r="BK17" s="207">
        <f t="shared" si="20"/>
        <v>0</v>
      </c>
      <c r="BL17" s="123"/>
      <c r="BM17" s="208"/>
      <c r="BN17" s="209"/>
      <c r="BO17" s="137"/>
      <c r="BP17" s="206">
        <f t="shared" si="21"/>
        <v>0</v>
      </c>
      <c r="BQ17" s="207">
        <f t="shared" si="22"/>
        <v>0</v>
      </c>
      <c r="BR17" s="123"/>
      <c r="BS17" s="208"/>
      <c r="BT17" s="209"/>
      <c r="BU17" s="137"/>
      <c r="BV17" s="206">
        <f t="shared" si="23"/>
        <v>0</v>
      </c>
      <c r="BW17" s="207">
        <f t="shared" si="24"/>
        <v>0</v>
      </c>
      <c r="BX17" s="123"/>
      <c r="BY17" s="208"/>
      <c r="BZ17" s="209"/>
      <c r="CA17" s="137"/>
      <c r="CB17" s="206">
        <f t="shared" ref="CB17" si="56">IFERROR(CA17*$D17,0)</f>
        <v>0</v>
      </c>
      <c r="CC17" s="207">
        <f t="shared" si="26"/>
        <v>0</v>
      </c>
      <c r="CD17" s="123"/>
      <c r="CE17" s="208"/>
      <c r="CF17" s="209"/>
      <c r="CG17" s="137"/>
      <c r="CH17" s="206">
        <f t="shared" ref="CH17" si="57">IFERROR(CG17*$D17,0)</f>
        <v>0</v>
      </c>
      <c r="CI17" s="207">
        <f t="shared" si="28"/>
        <v>0</v>
      </c>
      <c r="CJ17" s="123"/>
      <c r="CK17" s="208"/>
      <c r="CL17" s="209"/>
      <c r="CM17" s="137"/>
      <c r="CN17" s="206">
        <f t="shared" ref="CN17" si="58">IFERROR(CM17*$D17,0)</f>
        <v>0</v>
      </c>
      <c r="CO17" s="207">
        <f t="shared" si="30"/>
        <v>0</v>
      </c>
      <c r="CP17" s="123"/>
      <c r="CQ17" s="208"/>
    </row>
    <row r="18" spans="1:95" s="118" customFormat="1" ht="15" x14ac:dyDescent="0.25">
      <c r="A18" s="119">
        <v>8</v>
      </c>
      <c r="B18" s="57"/>
      <c r="C18" s="120"/>
      <c r="D18" s="58"/>
      <c r="E18" s="124"/>
      <c r="F18" s="121"/>
      <c r="G18" s="60"/>
      <c r="H18" s="122"/>
      <c r="I18" s="200">
        <f t="shared" si="31"/>
        <v>0</v>
      </c>
      <c r="J18" s="60"/>
      <c r="K18" s="125"/>
      <c r="L18" s="233">
        <f t="shared" si="32"/>
        <v>0</v>
      </c>
      <c r="M18" s="232" t="str">
        <f t="shared" si="43"/>
        <v/>
      </c>
      <c r="N18" s="232">
        <f t="shared" si="33"/>
        <v>0</v>
      </c>
      <c r="O18" s="232">
        <f t="shared" si="34"/>
        <v>0</v>
      </c>
      <c r="P18" s="232">
        <f>MIN(IF($AO18=Reference!$A$10,100000000,AJ18),IF($AU18=Reference!$A$10,100000000,AP18),IF($BA18=Reference!$A$10,100000000,AV18),IF($BG18=Reference!$A$10,100000000,BB18),IF($BM18=Reference!$A$10,100000000,BH18),IF($BS18=Reference!$A$10,100000000,BN18),IF($BY18=Reference!$A$10,100000000,BT18),IF($CE18=Reference!$A$10,100000000,BZ18),IF($CK18=Reference!$A$10,100000000,CF18),IF($CQ18=Reference!$A$10,100000000,CL18))</f>
        <v>0</v>
      </c>
      <c r="Q18" s="200" t="b">
        <f t="shared" si="1"/>
        <v>0</v>
      </c>
      <c r="R18" s="251">
        <f t="shared" si="2"/>
        <v>0</v>
      </c>
      <c r="S18" s="200" t="b">
        <f t="shared" si="35"/>
        <v>1</v>
      </c>
      <c r="T18" s="200" t="str">
        <f t="shared" si="3"/>
        <v/>
      </c>
      <c r="U18" s="252" t="str">
        <f t="shared" si="4"/>
        <v/>
      </c>
      <c r="V18" s="200" t="b">
        <f t="shared" si="5"/>
        <v>1</v>
      </c>
      <c r="W18" s="200" t="str">
        <f t="shared" si="36"/>
        <v>VENDOR 1</v>
      </c>
      <c r="X18" s="200">
        <f>IF(AO18=Reference!$A$8,'Bid Tab (F&amp;B Ops and CatMan) 10'!AK18,IF('Bid Tab (F&amp;B Ops and CatMan) 10'!AU18=Reference!$A$8,'Bid Tab (F&amp;B Ops and CatMan) 10'!AQ18,IF('Bid Tab (F&amp;B Ops and CatMan) 10'!BA18=Reference!$A$8,'Bid Tab (F&amp;B Ops and CatMan) 10'!AW18,IF('Bid Tab (F&amp;B Ops and CatMan) 10'!BG18=Reference!$A$8,'Bid Tab (F&amp;B Ops and CatMan) 10'!BC18,IF('Bid Tab (F&amp;B Ops and CatMan) 10'!BM18=Reference!$A$8,'Bid Tab (F&amp;B Ops and CatMan) 10'!BI18,IF('Bid Tab (F&amp;B Ops and CatMan) 10'!BS18=Reference!$A$8,'Bid Tab (F&amp;B Ops and CatMan) 10'!BO18,IF('Bid Tab (F&amp;B Ops and CatMan) 10'!BY18=Reference!$A$8,'Bid Tab (F&amp;B Ops and CatMan) 10'!BU18,IF('Bid Tab (F&amp;B Ops and CatMan) 10'!CE18=Reference!$A$8,'Bid Tab (F&amp;B Ops and CatMan) 10'!CA18,IF('Bid Tab (F&amp;B Ops and CatMan) 10'!CK18=Reference!$A$8,'Bid Tab (F&amp;B Ops and CatMan) 10'!CG18,IF('Bid Tab (F&amp;B Ops and CatMan) 10'!CQ18=Reference!$A$8,'Bid Tab (F&amp;B Ops and CatMan) 10'!CM18,0))))))))))</f>
        <v>0</v>
      </c>
      <c r="Y18" s="200" t="b">
        <f>IFERROR(IF(Reference!$A$8=HLOOKUP(Reference!$A$8,'Bid Tab (F&amp;B Ops and CatMan) 10'!AJ18:CQ18,1,0),TRUE,FALSE),FALSE)</f>
        <v>0</v>
      </c>
      <c r="Z18" s="200">
        <f>MIN(IF(AO18=Reference!$A$10,100000000,AK18),IF(AU18=Reference!$A$10,100000000,AQ18),IF(BA18=Reference!$A$10,100000000,AW18),IF(BG18=Reference!$A$10,100000000,BC18),IF(BM18=Reference!$A$10,100000000,BI18),IF(BS18=Reference!$A$10,100000000,BO18),IF(BY18=Reference!$A$10,100000000,BU18),IF(CE18=Reference!$A$10,100000000,CA18),IF(CK18=Reference!$A$10,100000000,CG18),IF(CQ18=Reference!$A$10,100000000,CM18))</f>
        <v>0</v>
      </c>
      <c r="AA18" s="200">
        <f t="shared" si="37"/>
        <v>0</v>
      </c>
      <c r="AB18" s="200">
        <f ca="1">IF(Reference!A25&gt;0,Reference!A25,MAX(IF(TODAY()-H18&lt;365,IF(G18&gt;=N18,G18,P18),P18),G18))</f>
        <v>0</v>
      </c>
      <c r="AC18" s="200">
        <f t="shared" ca="1" si="6"/>
        <v>0</v>
      </c>
      <c r="AD18" s="200">
        <f t="shared" ca="1" si="7"/>
        <v>0</v>
      </c>
      <c r="AE18" s="200">
        <f t="shared" ca="1" si="8"/>
        <v>0</v>
      </c>
      <c r="AF18" s="202" t="str">
        <f t="shared" ca="1" si="38"/>
        <v xml:space="preserve"> </v>
      </c>
      <c r="AG18" s="203">
        <f t="shared" si="9"/>
        <v>0</v>
      </c>
      <c r="AH18" s="204">
        <f t="shared" si="10"/>
        <v>0</v>
      </c>
      <c r="AI18" s="205">
        <f t="shared" si="11"/>
        <v>0</v>
      </c>
      <c r="AJ18" s="209"/>
      <c r="AK18" s="137"/>
      <c r="AL18" s="206">
        <f t="shared" si="12"/>
        <v>0</v>
      </c>
      <c r="AM18" s="207">
        <f t="shared" si="13"/>
        <v>0</v>
      </c>
      <c r="AN18" s="123"/>
      <c r="AO18" s="208"/>
      <c r="AP18" s="209"/>
      <c r="AQ18" s="137"/>
      <c r="AR18" s="206">
        <f t="shared" si="14"/>
        <v>0</v>
      </c>
      <c r="AS18" s="207">
        <f t="shared" si="15"/>
        <v>0</v>
      </c>
      <c r="AT18" s="123"/>
      <c r="AU18" s="208"/>
      <c r="AV18" s="209"/>
      <c r="AW18" s="137"/>
      <c r="AX18" s="206">
        <f t="shared" si="16"/>
        <v>0</v>
      </c>
      <c r="AY18" s="207">
        <f t="shared" si="17"/>
        <v>0</v>
      </c>
      <c r="AZ18" s="123"/>
      <c r="BA18" s="208"/>
      <c r="BB18" s="209"/>
      <c r="BC18" s="137"/>
      <c r="BD18" s="206">
        <f t="shared" si="39"/>
        <v>0</v>
      </c>
      <c r="BE18" s="207">
        <f t="shared" si="18"/>
        <v>0</v>
      </c>
      <c r="BF18" s="123"/>
      <c r="BG18" s="208"/>
      <c r="BH18" s="209"/>
      <c r="BI18" s="137"/>
      <c r="BJ18" s="206">
        <f t="shared" si="19"/>
        <v>0</v>
      </c>
      <c r="BK18" s="207">
        <f t="shared" si="20"/>
        <v>0</v>
      </c>
      <c r="BL18" s="123"/>
      <c r="BM18" s="208"/>
      <c r="BN18" s="209"/>
      <c r="BO18" s="137"/>
      <c r="BP18" s="206">
        <f t="shared" si="21"/>
        <v>0</v>
      </c>
      <c r="BQ18" s="207">
        <f t="shared" si="22"/>
        <v>0</v>
      </c>
      <c r="BR18" s="123"/>
      <c r="BS18" s="208"/>
      <c r="BT18" s="209"/>
      <c r="BU18" s="137"/>
      <c r="BV18" s="206">
        <f t="shared" si="23"/>
        <v>0</v>
      </c>
      <c r="BW18" s="207">
        <f t="shared" si="24"/>
        <v>0</v>
      </c>
      <c r="BX18" s="123"/>
      <c r="BY18" s="208"/>
      <c r="BZ18" s="209"/>
      <c r="CA18" s="137"/>
      <c r="CB18" s="206">
        <f t="shared" ref="CB18" si="59">IFERROR(CA18*$D18,0)</f>
        <v>0</v>
      </c>
      <c r="CC18" s="207">
        <f t="shared" si="26"/>
        <v>0</v>
      </c>
      <c r="CD18" s="123"/>
      <c r="CE18" s="208"/>
      <c r="CF18" s="209"/>
      <c r="CG18" s="137"/>
      <c r="CH18" s="206">
        <f t="shared" ref="CH18" si="60">IFERROR(CG18*$D18,0)</f>
        <v>0</v>
      </c>
      <c r="CI18" s="207">
        <f t="shared" si="28"/>
        <v>0</v>
      </c>
      <c r="CJ18" s="123"/>
      <c r="CK18" s="208"/>
      <c r="CL18" s="209"/>
      <c r="CM18" s="137"/>
      <c r="CN18" s="206">
        <f t="shared" ref="CN18" si="61">IFERROR(CM18*$D18,0)</f>
        <v>0</v>
      </c>
      <c r="CO18" s="207">
        <f t="shared" si="30"/>
        <v>0</v>
      </c>
      <c r="CP18" s="123"/>
      <c r="CQ18" s="208"/>
    </row>
    <row r="19" spans="1:95" s="118" customFormat="1" ht="15" x14ac:dyDescent="0.25">
      <c r="A19" s="119">
        <v>9</v>
      </c>
      <c r="B19" s="57"/>
      <c r="C19" s="120"/>
      <c r="D19" s="58"/>
      <c r="E19" s="124"/>
      <c r="F19" s="121"/>
      <c r="G19" s="60"/>
      <c r="H19" s="122"/>
      <c r="I19" s="200">
        <f t="shared" si="31"/>
        <v>0</v>
      </c>
      <c r="J19" s="60"/>
      <c r="K19" s="125"/>
      <c r="L19" s="233">
        <f t="shared" si="32"/>
        <v>0</v>
      </c>
      <c r="M19" s="232" t="str">
        <f t="shared" si="43"/>
        <v/>
      </c>
      <c r="N19" s="232">
        <f t="shared" si="33"/>
        <v>0</v>
      </c>
      <c r="O19" s="232">
        <f t="shared" si="34"/>
        <v>0</v>
      </c>
      <c r="P19" s="232">
        <f>MIN(IF($AO19=Reference!$A$10,100000000,AJ19),IF($AU19=Reference!$A$10,100000000,AP19),IF($BA19=Reference!$A$10,100000000,AV19),IF($BG19=Reference!$A$10,100000000,BB19),IF($BM19=Reference!$A$10,100000000,BH19),IF($BS19=Reference!$A$10,100000000,BN19),IF($BY19=Reference!$A$10,100000000,BT19),IF($CE19=Reference!$A$10,100000000,BZ19),IF($CK19=Reference!$A$10,100000000,CF19),IF($CQ19=Reference!$A$10,100000000,CL19))</f>
        <v>0</v>
      </c>
      <c r="Q19" s="200" t="b">
        <f t="shared" si="1"/>
        <v>0</v>
      </c>
      <c r="R19" s="251">
        <f t="shared" si="2"/>
        <v>0</v>
      </c>
      <c r="S19" s="200" t="b">
        <f t="shared" si="35"/>
        <v>1</v>
      </c>
      <c r="T19" s="200" t="str">
        <f t="shared" si="3"/>
        <v/>
      </c>
      <c r="U19" s="252" t="str">
        <f t="shared" si="4"/>
        <v/>
      </c>
      <c r="V19" s="200" t="b">
        <f t="shared" si="5"/>
        <v>1</v>
      </c>
      <c r="W19" s="200" t="str">
        <f t="shared" si="36"/>
        <v>VENDOR 1</v>
      </c>
      <c r="X19" s="200">
        <f>IF(AO19=Reference!$A$8,'Bid Tab (F&amp;B Ops and CatMan) 10'!AK19,IF('Bid Tab (F&amp;B Ops and CatMan) 10'!AU19=Reference!$A$8,'Bid Tab (F&amp;B Ops and CatMan) 10'!AQ19,IF('Bid Tab (F&amp;B Ops and CatMan) 10'!BA19=Reference!$A$8,'Bid Tab (F&amp;B Ops and CatMan) 10'!AW19,IF('Bid Tab (F&amp;B Ops and CatMan) 10'!BG19=Reference!$A$8,'Bid Tab (F&amp;B Ops and CatMan) 10'!BC19,IF('Bid Tab (F&amp;B Ops and CatMan) 10'!BM19=Reference!$A$8,'Bid Tab (F&amp;B Ops and CatMan) 10'!BI19,IF('Bid Tab (F&amp;B Ops and CatMan) 10'!BS19=Reference!$A$8,'Bid Tab (F&amp;B Ops and CatMan) 10'!BO19,IF('Bid Tab (F&amp;B Ops and CatMan) 10'!BY19=Reference!$A$8,'Bid Tab (F&amp;B Ops and CatMan) 10'!BU19,IF('Bid Tab (F&amp;B Ops and CatMan) 10'!CE19=Reference!$A$8,'Bid Tab (F&amp;B Ops and CatMan) 10'!CA19,IF('Bid Tab (F&amp;B Ops and CatMan) 10'!CK19=Reference!$A$8,'Bid Tab (F&amp;B Ops and CatMan) 10'!CG19,IF('Bid Tab (F&amp;B Ops and CatMan) 10'!CQ19=Reference!$A$8,'Bid Tab (F&amp;B Ops and CatMan) 10'!CM19,0))))))))))</f>
        <v>0</v>
      </c>
      <c r="Y19" s="200" t="b">
        <f>IFERROR(IF(Reference!$A$8=HLOOKUP(Reference!$A$8,'Bid Tab (F&amp;B Ops and CatMan) 10'!AJ19:CQ19,1,0),TRUE,FALSE),FALSE)</f>
        <v>0</v>
      </c>
      <c r="Z19" s="200">
        <f>MIN(IF(AO19=Reference!$A$10,100000000,AK19),IF(AU19=Reference!$A$10,100000000,AQ19),IF(BA19=Reference!$A$10,100000000,AW19),IF(BG19=Reference!$A$10,100000000,BC19),IF(BM19=Reference!$A$10,100000000,BI19),IF(BS19=Reference!$A$10,100000000,BO19),IF(BY19=Reference!$A$10,100000000,BU19),IF(CE19=Reference!$A$10,100000000,CA19),IF(CK19=Reference!$A$10,100000000,CG19),IF(CQ19=Reference!$A$10,100000000,CM19))</f>
        <v>0</v>
      </c>
      <c r="AA19" s="200">
        <f t="shared" si="37"/>
        <v>0</v>
      </c>
      <c r="AB19" s="200">
        <f ca="1">IF(Reference!A26&gt;0,Reference!A26,MAX(IF(TODAY()-H19&lt;365,IF(G19&gt;=N19,G19,P19),P19),G19))</f>
        <v>0</v>
      </c>
      <c r="AC19" s="200">
        <f t="shared" ca="1" si="6"/>
        <v>0</v>
      </c>
      <c r="AD19" s="200">
        <f t="shared" ca="1" si="7"/>
        <v>0</v>
      </c>
      <c r="AE19" s="200">
        <f t="shared" ca="1" si="8"/>
        <v>0</v>
      </c>
      <c r="AF19" s="202" t="str">
        <f t="shared" ca="1" si="38"/>
        <v xml:space="preserve"> </v>
      </c>
      <c r="AG19" s="203">
        <f t="shared" si="9"/>
        <v>0</v>
      </c>
      <c r="AH19" s="204">
        <f t="shared" si="10"/>
        <v>0</v>
      </c>
      <c r="AI19" s="205">
        <f t="shared" si="11"/>
        <v>0</v>
      </c>
      <c r="AJ19" s="209"/>
      <c r="AK19" s="137"/>
      <c r="AL19" s="206">
        <f t="shared" si="12"/>
        <v>0</v>
      </c>
      <c r="AM19" s="207">
        <f t="shared" si="13"/>
        <v>0</v>
      </c>
      <c r="AN19" s="123"/>
      <c r="AO19" s="208"/>
      <c r="AP19" s="209"/>
      <c r="AQ19" s="137"/>
      <c r="AR19" s="206">
        <f t="shared" si="14"/>
        <v>0</v>
      </c>
      <c r="AS19" s="207">
        <f t="shared" si="15"/>
        <v>0</v>
      </c>
      <c r="AT19" s="123"/>
      <c r="AU19" s="208"/>
      <c r="AV19" s="209"/>
      <c r="AW19" s="137"/>
      <c r="AX19" s="206">
        <f t="shared" si="16"/>
        <v>0</v>
      </c>
      <c r="AY19" s="207">
        <f t="shared" si="17"/>
        <v>0</v>
      </c>
      <c r="AZ19" s="123"/>
      <c r="BA19" s="208"/>
      <c r="BB19" s="209"/>
      <c r="BC19" s="137"/>
      <c r="BD19" s="206">
        <f t="shared" si="39"/>
        <v>0</v>
      </c>
      <c r="BE19" s="207">
        <f t="shared" si="18"/>
        <v>0</v>
      </c>
      <c r="BF19" s="123"/>
      <c r="BG19" s="208"/>
      <c r="BH19" s="209"/>
      <c r="BI19" s="137"/>
      <c r="BJ19" s="206">
        <f t="shared" si="19"/>
        <v>0</v>
      </c>
      <c r="BK19" s="207">
        <f t="shared" si="20"/>
        <v>0</v>
      </c>
      <c r="BL19" s="123"/>
      <c r="BM19" s="208"/>
      <c r="BN19" s="209"/>
      <c r="BO19" s="137"/>
      <c r="BP19" s="206">
        <f t="shared" si="21"/>
        <v>0</v>
      </c>
      <c r="BQ19" s="207">
        <f t="shared" si="22"/>
        <v>0</v>
      </c>
      <c r="BR19" s="123"/>
      <c r="BS19" s="208"/>
      <c r="BT19" s="209"/>
      <c r="BU19" s="137"/>
      <c r="BV19" s="206">
        <f t="shared" si="23"/>
        <v>0</v>
      </c>
      <c r="BW19" s="207">
        <f t="shared" si="24"/>
        <v>0</v>
      </c>
      <c r="BX19" s="123"/>
      <c r="BY19" s="208"/>
      <c r="BZ19" s="209"/>
      <c r="CA19" s="137"/>
      <c r="CB19" s="206">
        <f t="shared" ref="CB19" si="62">IFERROR(CA19*$D19,0)</f>
        <v>0</v>
      </c>
      <c r="CC19" s="207">
        <f t="shared" si="26"/>
        <v>0</v>
      </c>
      <c r="CD19" s="123"/>
      <c r="CE19" s="208"/>
      <c r="CF19" s="209"/>
      <c r="CG19" s="137"/>
      <c r="CH19" s="206">
        <f t="shared" ref="CH19" si="63">IFERROR(CG19*$D19,0)</f>
        <v>0</v>
      </c>
      <c r="CI19" s="207">
        <f t="shared" si="28"/>
        <v>0</v>
      </c>
      <c r="CJ19" s="123"/>
      <c r="CK19" s="208"/>
      <c r="CL19" s="209"/>
      <c r="CM19" s="137"/>
      <c r="CN19" s="206">
        <f t="shared" ref="CN19" si="64">IFERROR(CM19*$D19,0)</f>
        <v>0</v>
      </c>
      <c r="CO19" s="207">
        <f t="shared" si="30"/>
        <v>0</v>
      </c>
      <c r="CP19" s="123"/>
      <c r="CQ19" s="208"/>
    </row>
    <row r="20" spans="1:95" s="118" customFormat="1" ht="15" x14ac:dyDescent="0.25">
      <c r="A20" s="119">
        <v>10</v>
      </c>
      <c r="B20" s="57"/>
      <c r="C20" s="120"/>
      <c r="D20" s="58"/>
      <c r="E20" s="124"/>
      <c r="F20" s="121"/>
      <c r="G20" s="60"/>
      <c r="H20" s="122"/>
      <c r="I20" s="200">
        <f t="shared" si="31"/>
        <v>0</v>
      </c>
      <c r="J20" s="60"/>
      <c r="K20" s="125"/>
      <c r="L20" s="233">
        <f t="shared" si="32"/>
        <v>0</v>
      </c>
      <c r="M20" s="232" t="str">
        <f t="shared" si="43"/>
        <v/>
      </c>
      <c r="N20" s="232">
        <f t="shared" si="33"/>
        <v>0</v>
      </c>
      <c r="O20" s="232">
        <f t="shared" si="34"/>
        <v>0</v>
      </c>
      <c r="P20" s="232">
        <f>MIN(IF($AO20=Reference!$A$10,100000000,AJ20),IF($AU20=Reference!$A$10,100000000,AP20),IF($BA20=Reference!$A$10,100000000,AV20),IF($BG20=Reference!$A$10,100000000,BB20),IF($BM20=Reference!$A$10,100000000,BH20),IF($BS20=Reference!$A$10,100000000,BN20),IF($BY20=Reference!$A$10,100000000,BT20),IF($CE20=Reference!$A$10,100000000,BZ20),IF($CK20=Reference!$A$10,100000000,CF20),IF($CQ20=Reference!$A$10,100000000,CL20))</f>
        <v>0</v>
      </c>
      <c r="Q20" s="200" t="b">
        <f t="shared" si="1"/>
        <v>0</v>
      </c>
      <c r="R20" s="251">
        <f t="shared" si="2"/>
        <v>0</v>
      </c>
      <c r="S20" s="200" t="b">
        <f t="shared" si="35"/>
        <v>1</v>
      </c>
      <c r="T20" s="200" t="str">
        <f t="shared" si="3"/>
        <v/>
      </c>
      <c r="U20" s="252" t="str">
        <f t="shared" si="4"/>
        <v/>
      </c>
      <c r="V20" s="200" t="b">
        <f t="shared" si="5"/>
        <v>1</v>
      </c>
      <c r="W20" s="200" t="str">
        <f t="shared" si="36"/>
        <v>VENDOR 1</v>
      </c>
      <c r="X20" s="200">
        <f>IF(AO20=Reference!$A$8,'Bid Tab (F&amp;B Ops and CatMan) 10'!AK20,IF('Bid Tab (F&amp;B Ops and CatMan) 10'!AU20=Reference!$A$8,'Bid Tab (F&amp;B Ops and CatMan) 10'!AQ20,IF('Bid Tab (F&amp;B Ops and CatMan) 10'!BA20=Reference!$A$8,'Bid Tab (F&amp;B Ops and CatMan) 10'!AW20,IF('Bid Tab (F&amp;B Ops and CatMan) 10'!BG20=Reference!$A$8,'Bid Tab (F&amp;B Ops and CatMan) 10'!BC20,IF('Bid Tab (F&amp;B Ops and CatMan) 10'!BM20=Reference!$A$8,'Bid Tab (F&amp;B Ops and CatMan) 10'!BI20,IF('Bid Tab (F&amp;B Ops and CatMan) 10'!BS20=Reference!$A$8,'Bid Tab (F&amp;B Ops and CatMan) 10'!BO20,IF('Bid Tab (F&amp;B Ops and CatMan) 10'!BY20=Reference!$A$8,'Bid Tab (F&amp;B Ops and CatMan) 10'!BU20,IF('Bid Tab (F&amp;B Ops and CatMan) 10'!CE20=Reference!$A$8,'Bid Tab (F&amp;B Ops and CatMan) 10'!CA20,IF('Bid Tab (F&amp;B Ops and CatMan) 10'!CK20=Reference!$A$8,'Bid Tab (F&amp;B Ops and CatMan) 10'!CG20,IF('Bid Tab (F&amp;B Ops and CatMan) 10'!CQ20=Reference!$A$8,'Bid Tab (F&amp;B Ops and CatMan) 10'!CM20,0))))))))))</f>
        <v>0</v>
      </c>
      <c r="Y20" s="200" t="b">
        <f>IFERROR(IF(Reference!$A$8=HLOOKUP(Reference!$A$8,'Bid Tab (F&amp;B Ops and CatMan) 10'!AJ20:CQ20,1,0),TRUE,FALSE),FALSE)</f>
        <v>0</v>
      </c>
      <c r="Z20" s="200">
        <f>MIN(IF(AO20=Reference!$A$10,100000000,AK20),IF(AU20=Reference!$A$10,100000000,AQ20),IF(BA20=Reference!$A$10,100000000,AW20),IF(BG20=Reference!$A$10,100000000,BC20),IF(BM20=Reference!$A$10,100000000,BI20),IF(BS20=Reference!$A$10,100000000,BO20),IF(BY20=Reference!$A$10,100000000,BU20),IF(CE20=Reference!$A$10,100000000,CA20),IF(CK20=Reference!$A$10,100000000,CG20),IF(CQ20=Reference!$A$10,100000000,CM20))</f>
        <v>0</v>
      </c>
      <c r="AA20" s="200">
        <f t="shared" si="37"/>
        <v>0</v>
      </c>
      <c r="AB20" s="200">
        <f ca="1">IF(Reference!A27&gt;0,Reference!A27,MAX(IF(TODAY()-H20&lt;365,IF(G20&gt;=N20,G20,P20),P20),G20))</f>
        <v>0</v>
      </c>
      <c r="AC20" s="200">
        <f t="shared" ca="1" si="6"/>
        <v>0</v>
      </c>
      <c r="AD20" s="200">
        <f t="shared" ca="1" si="7"/>
        <v>0</v>
      </c>
      <c r="AE20" s="200">
        <f t="shared" ca="1" si="8"/>
        <v>0</v>
      </c>
      <c r="AF20" s="202" t="str">
        <f t="shared" ca="1" si="38"/>
        <v xml:space="preserve"> </v>
      </c>
      <c r="AG20" s="203">
        <f t="shared" si="9"/>
        <v>0</v>
      </c>
      <c r="AH20" s="204">
        <f t="shared" si="10"/>
        <v>0</v>
      </c>
      <c r="AI20" s="205">
        <f t="shared" si="11"/>
        <v>0</v>
      </c>
      <c r="AJ20" s="209"/>
      <c r="AK20" s="137"/>
      <c r="AL20" s="206">
        <f t="shared" si="12"/>
        <v>0</v>
      </c>
      <c r="AM20" s="207">
        <f t="shared" si="13"/>
        <v>0</v>
      </c>
      <c r="AN20" s="123"/>
      <c r="AO20" s="208"/>
      <c r="AP20" s="209"/>
      <c r="AQ20" s="137"/>
      <c r="AR20" s="206">
        <f t="shared" si="14"/>
        <v>0</v>
      </c>
      <c r="AS20" s="207">
        <f t="shared" si="15"/>
        <v>0</v>
      </c>
      <c r="AT20" s="123"/>
      <c r="AU20" s="208"/>
      <c r="AV20" s="209"/>
      <c r="AW20" s="137"/>
      <c r="AX20" s="206">
        <f t="shared" si="16"/>
        <v>0</v>
      </c>
      <c r="AY20" s="207">
        <f t="shared" si="17"/>
        <v>0</v>
      </c>
      <c r="AZ20" s="123"/>
      <c r="BA20" s="208"/>
      <c r="BB20" s="209"/>
      <c r="BC20" s="137"/>
      <c r="BD20" s="206">
        <f t="shared" si="39"/>
        <v>0</v>
      </c>
      <c r="BE20" s="207">
        <f t="shared" si="18"/>
        <v>0</v>
      </c>
      <c r="BF20" s="123"/>
      <c r="BG20" s="208"/>
      <c r="BH20" s="209"/>
      <c r="BI20" s="137"/>
      <c r="BJ20" s="206">
        <f t="shared" si="19"/>
        <v>0</v>
      </c>
      <c r="BK20" s="207">
        <f t="shared" si="20"/>
        <v>0</v>
      </c>
      <c r="BL20" s="123"/>
      <c r="BM20" s="208"/>
      <c r="BN20" s="209"/>
      <c r="BO20" s="137"/>
      <c r="BP20" s="206">
        <f t="shared" si="21"/>
        <v>0</v>
      </c>
      <c r="BQ20" s="207">
        <f t="shared" si="22"/>
        <v>0</v>
      </c>
      <c r="BR20" s="123"/>
      <c r="BS20" s="208"/>
      <c r="BT20" s="209"/>
      <c r="BU20" s="137"/>
      <c r="BV20" s="206">
        <f t="shared" si="23"/>
        <v>0</v>
      </c>
      <c r="BW20" s="207">
        <f t="shared" si="24"/>
        <v>0</v>
      </c>
      <c r="BX20" s="123"/>
      <c r="BY20" s="208"/>
      <c r="BZ20" s="209"/>
      <c r="CA20" s="137"/>
      <c r="CB20" s="206">
        <f t="shared" ref="CB20" si="65">IFERROR(CA20*$D20,0)</f>
        <v>0</v>
      </c>
      <c r="CC20" s="207">
        <f t="shared" si="26"/>
        <v>0</v>
      </c>
      <c r="CD20" s="123"/>
      <c r="CE20" s="208"/>
      <c r="CF20" s="209"/>
      <c r="CG20" s="137"/>
      <c r="CH20" s="206">
        <f t="shared" ref="CH20" si="66">IFERROR(CG20*$D20,0)</f>
        <v>0</v>
      </c>
      <c r="CI20" s="207">
        <f t="shared" si="28"/>
        <v>0</v>
      </c>
      <c r="CJ20" s="123"/>
      <c r="CK20" s="208"/>
      <c r="CL20" s="209"/>
      <c r="CM20" s="137"/>
      <c r="CN20" s="206">
        <f t="shared" ref="CN20" si="67">IFERROR(CM20*$D20,0)</f>
        <v>0</v>
      </c>
      <c r="CO20" s="207">
        <f t="shared" si="30"/>
        <v>0</v>
      </c>
      <c r="CP20" s="123"/>
      <c r="CQ20" s="208"/>
    </row>
    <row r="21" spans="1:95" s="118" customFormat="1" ht="15" outlineLevel="1" x14ac:dyDescent="0.25">
      <c r="A21" s="119">
        <v>11</v>
      </c>
      <c r="B21" s="57"/>
      <c r="C21" s="120"/>
      <c r="D21" s="58"/>
      <c r="E21" s="124"/>
      <c r="F21" s="121"/>
      <c r="G21" s="60"/>
      <c r="H21" s="122"/>
      <c r="I21" s="200">
        <f t="shared" si="31"/>
        <v>0</v>
      </c>
      <c r="J21" s="60"/>
      <c r="K21" s="125"/>
      <c r="L21" s="233">
        <f t="shared" si="32"/>
        <v>0</v>
      </c>
      <c r="M21" s="232" t="str">
        <f t="shared" si="43"/>
        <v/>
      </c>
      <c r="N21" s="232">
        <f t="shared" si="33"/>
        <v>0</v>
      </c>
      <c r="O21" s="232">
        <f t="shared" si="34"/>
        <v>0</v>
      </c>
      <c r="P21" s="232">
        <f>MIN(IF($AO21=Reference!$A$10,100000000,AJ21),IF($AU21=Reference!$A$10,100000000,AP21),IF($BA21=Reference!$A$10,100000000,AV21),IF($BG21=Reference!$A$10,100000000,BB21),IF($BM21=Reference!$A$10,100000000,BH21),IF($BS21=Reference!$A$10,100000000,BN21),IF($BY21=Reference!$A$10,100000000,BT21),IF($CE21=Reference!$A$10,100000000,BZ21),IF($CK21=Reference!$A$10,100000000,CF21),IF($CQ21=Reference!$A$10,100000000,CL21))</f>
        <v>0</v>
      </c>
      <c r="Q21" s="200" t="b">
        <f t="shared" si="1"/>
        <v>0</v>
      </c>
      <c r="R21" s="251">
        <f t="shared" si="2"/>
        <v>0</v>
      </c>
      <c r="S21" s="200" t="b">
        <f t="shared" si="35"/>
        <v>1</v>
      </c>
      <c r="T21" s="200" t="str">
        <f t="shared" si="3"/>
        <v/>
      </c>
      <c r="U21" s="252" t="str">
        <f t="shared" si="4"/>
        <v/>
      </c>
      <c r="V21" s="200" t="b">
        <f t="shared" si="5"/>
        <v>1</v>
      </c>
      <c r="W21" s="200" t="str">
        <f t="shared" si="36"/>
        <v>VENDOR 1</v>
      </c>
      <c r="X21" s="200">
        <f>IF(AO21=Reference!$A$8,'Bid Tab (F&amp;B Ops and CatMan) 10'!AK21,IF('Bid Tab (F&amp;B Ops and CatMan) 10'!AU21=Reference!$A$8,'Bid Tab (F&amp;B Ops and CatMan) 10'!AQ21,IF('Bid Tab (F&amp;B Ops and CatMan) 10'!BA21=Reference!$A$8,'Bid Tab (F&amp;B Ops and CatMan) 10'!AW21,IF('Bid Tab (F&amp;B Ops and CatMan) 10'!BG21=Reference!$A$8,'Bid Tab (F&amp;B Ops and CatMan) 10'!BC21,IF('Bid Tab (F&amp;B Ops and CatMan) 10'!BM21=Reference!$A$8,'Bid Tab (F&amp;B Ops and CatMan) 10'!BI21,IF('Bid Tab (F&amp;B Ops and CatMan) 10'!BS21=Reference!$A$8,'Bid Tab (F&amp;B Ops and CatMan) 10'!BO21,IF('Bid Tab (F&amp;B Ops and CatMan) 10'!BY21=Reference!$A$8,'Bid Tab (F&amp;B Ops and CatMan) 10'!BU21,IF('Bid Tab (F&amp;B Ops and CatMan) 10'!CE21=Reference!$A$8,'Bid Tab (F&amp;B Ops and CatMan) 10'!CA21,IF('Bid Tab (F&amp;B Ops and CatMan) 10'!CK21=Reference!$A$8,'Bid Tab (F&amp;B Ops and CatMan) 10'!CG21,IF('Bid Tab (F&amp;B Ops and CatMan) 10'!CQ21=Reference!$A$8,'Bid Tab (F&amp;B Ops and CatMan) 10'!CM21,0))))))))))</f>
        <v>0</v>
      </c>
      <c r="Y21" s="200" t="b">
        <f>IFERROR(IF(Reference!$A$8=HLOOKUP(Reference!$A$8,'Bid Tab (F&amp;B Ops and CatMan) 10'!AJ21:CQ21,1,0),TRUE,FALSE),FALSE)</f>
        <v>0</v>
      </c>
      <c r="Z21" s="200">
        <f>MIN(IF(AO21=Reference!$A$10,100000000,AK21),IF(AU21=Reference!$A$10,100000000,AQ21),IF(BA21=Reference!$A$10,100000000,AW21),IF(BG21=Reference!$A$10,100000000,BC21),IF(BM21=Reference!$A$10,100000000,BI21),IF(BS21=Reference!$A$10,100000000,BO21),IF(BY21=Reference!$A$10,100000000,BU21),IF(CE21=Reference!$A$10,100000000,CA21),IF(CK21=Reference!$A$10,100000000,CG21),IF(CQ21=Reference!$A$10,100000000,CM21))</f>
        <v>0</v>
      </c>
      <c r="AA21" s="200">
        <f t="shared" si="37"/>
        <v>0</v>
      </c>
      <c r="AB21" s="200">
        <f ca="1">IF(Reference!A28&gt;0,Reference!A28,MAX(IF(TODAY()-H21&lt;365,IF(G21&gt;=N21,G21,P21),P21),G21))</f>
        <v>0</v>
      </c>
      <c r="AC21" s="200">
        <f t="shared" ca="1" si="6"/>
        <v>0</v>
      </c>
      <c r="AD21" s="200">
        <f t="shared" ca="1" si="7"/>
        <v>0</v>
      </c>
      <c r="AE21" s="200">
        <f t="shared" ca="1" si="8"/>
        <v>0</v>
      </c>
      <c r="AF21" s="202" t="str">
        <f t="shared" ca="1" si="38"/>
        <v xml:space="preserve"> </v>
      </c>
      <c r="AG21" s="203">
        <f t="shared" si="9"/>
        <v>0</v>
      </c>
      <c r="AH21" s="204">
        <f t="shared" si="10"/>
        <v>0</v>
      </c>
      <c r="AI21" s="205">
        <f t="shared" si="11"/>
        <v>0</v>
      </c>
      <c r="AJ21" s="209"/>
      <c r="AK21" s="137"/>
      <c r="AL21" s="206">
        <f t="shared" si="12"/>
        <v>0</v>
      </c>
      <c r="AM21" s="207">
        <f t="shared" si="13"/>
        <v>0</v>
      </c>
      <c r="AN21" s="123"/>
      <c r="AO21" s="208"/>
      <c r="AP21" s="209"/>
      <c r="AQ21" s="137"/>
      <c r="AR21" s="206">
        <f t="shared" si="14"/>
        <v>0</v>
      </c>
      <c r="AS21" s="207">
        <f t="shared" si="15"/>
        <v>0</v>
      </c>
      <c r="AT21" s="123"/>
      <c r="AU21" s="208"/>
      <c r="AV21" s="209"/>
      <c r="AW21" s="137"/>
      <c r="AX21" s="206">
        <f t="shared" si="16"/>
        <v>0</v>
      </c>
      <c r="AY21" s="207">
        <f t="shared" si="17"/>
        <v>0</v>
      </c>
      <c r="AZ21" s="123"/>
      <c r="BA21" s="208"/>
      <c r="BB21" s="209"/>
      <c r="BC21" s="137"/>
      <c r="BD21" s="206">
        <f t="shared" si="39"/>
        <v>0</v>
      </c>
      <c r="BE21" s="207">
        <f t="shared" si="18"/>
        <v>0</v>
      </c>
      <c r="BF21" s="123"/>
      <c r="BG21" s="208"/>
      <c r="BH21" s="209"/>
      <c r="BI21" s="137"/>
      <c r="BJ21" s="206">
        <f t="shared" si="19"/>
        <v>0</v>
      </c>
      <c r="BK21" s="207">
        <f t="shared" si="20"/>
        <v>0</v>
      </c>
      <c r="BL21" s="123"/>
      <c r="BM21" s="208"/>
      <c r="BN21" s="209"/>
      <c r="BO21" s="137"/>
      <c r="BP21" s="206">
        <f t="shared" si="21"/>
        <v>0</v>
      </c>
      <c r="BQ21" s="207">
        <f t="shared" si="22"/>
        <v>0</v>
      </c>
      <c r="BR21" s="123"/>
      <c r="BS21" s="208"/>
      <c r="BT21" s="209"/>
      <c r="BU21" s="137"/>
      <c r="BV21" s="206">
        <f t="shared" si="23"/>
        <v>0</v>
      </c>
      <c r="BW21" s="207">
        <f t="shared" si="24"/>
        <v>0</v>
      </c>
      <c r="BX21" s="123"/>
      <c r="BY21" s="208"/>
      <c r="BZ21" s="209"/>
      <c r="CA21" s="137"/>
      <c r="CB21" s="206">
        <f t="shared" ref="CB21" si="68">IFERROR(CA21*$D21,0)</f>
        <v>0</v>
      </c>
      <c r="CC21" s="207">
        <f t="shared" si="26"/>
        <v>0</v>
      </c>
      <c r="CD21" s="123"/>
      <c r="CE21" s="208"/>
      <c r="CF21" s="209"/>
      <c r="CG21" s="137"/>
      <c r="CH21" s="206">
        <f t="shared" ref="CH21" si="69">IFERROR(CG21*$D21,0)</f>
        <v>0</v>
      </c>
      <c r="CI21" s="207">
        <f t="shared" si="28"/>
        <v>0</v>
      </c>
      <c r="CJ21" s="123"/>
      <c r="CK21" s="208"/>
      <c r="CL21" s="209"/>
      <c r="CM21" s="137"/>
      <c r="CN21" s="206">
        <f t="shared" ref="CN21" si="70">IFERROR(CM21*$D21,0)</f>
        <v>0</v>
      </c>
      <c r="CO21" s="207">
        <f t="shared" si="30"/>
        <v>0</v>
      </c>
      <c r="CP21" s="123"/>
      <c r="CQ21" s="208"/>
    </row>
    <row r="22" spans="1:95" s="118" customFormat="1" ht="15" outlineLevel="1" x14ac:dyDescent="0.25">
      <c r="A22" s="119">
        <v>12</v>
      </c>
      <c r="B22" s="57"/>
      <c r="C22" s="120"/>
      <c r="D22" s="58"/>
      <c r="E22" s="124"/>
      <c r="F22" s="121"/>
      <c r="G22" s="60"/>
      <c r="H22" s="122"/>
      <c r="I22" s="200">
        <f t="shared" si="31"/>
        <v>0</v>
      </c>
      <c r="J22" s="60"/>
      <c r="K22" s="125"/>
      <c r="L22" s="233">
        <f t="shared" si="32"/>
        <v>0</v>
      </c>
      <c r="M22" s="232" t="str">
        <f t="shared" si="43"/>
        <v/>
      </c>
      <c r="N22" s="232">
        <f t="shared" si="33"/>
        <v>0</v>
      </c>
      <c r="O22" s="232">
        <f t="shared" si="34"/>
        <v>0</v>
      </c>
      <c r="P22" s="232">
        <f>MIN(IF($AO22=Reference!$A$10,100000000,AJ22),IF($AU22=Reference!$A$10,100000000,AP22),IF($BA22=Reference!$A$10,100000000,AV22),IF($BG22=Reference!$A$10,100000000,BB22),IF($BM22=Reference!$A$10,100000000,BH22),IF($BS22=Reference!$A$10,100000000,BN22),IF($BY22=Reference!$A$10,100000000,BT22),IF($CE22=Reference!$A$10,100000000,BZ22),IF($CK22=Reference!$A$10,100000000,CF22),IF($CQ22=Reference!$A$10,100000000,CL22))</f>
        <v>0</v>
      </c>
      <c r="Q22" s="200" t="b">
        <f t="shared" si="1"/>
        <v>0</v>
      </c>
      <c r="R22" s="251">
        <f t="shared" si="2"/>
        <v>0</v>
      </c>
      <c r="S22" s="200" t="b">
        <f t="shared" si="35"/>
        <v>1</v>
      </c>
      <c r="T22" s="200" t="str">
        <f t="shared" si="3"/>
        <v/>
      </c>
      <c r="U22" s="252" t="str">
        <f t="shared" si="4"/>
        <v/>
      </c>
      <c r="V22" s="200" t="b">
        <f t="shared" si="5"/>
        <v>1</v>
      </c>
      <c r="W22" s="200" t="str">
        <f t="shared" si="36"/>
        <v>VENDOR 1</v>
      </c>
      <c r="X22" s="200">
        <f>IF(AO22=Reference!$A$8,'Bid Tab (F&amp;B Ops and CatMan) 10'!AK22,IF('Bid Tab (F&amp;B Ops and CatMan) 10'!AU22=Reference!$A$8,'Bid Tab (F&amp;B Ops and CatMan) 10'!AQ22,IF('Bid Tab (F&amp;B Ops and CatMan) 10'!BA22=Reference!$A$8,'Bid Tab (F&amp;B Ops and CatMan) 10'!AW22,IF('Bid Tab (F&amp;B Ops and CatMan) 10'!BG22=Reference!$A$8,'Bid Tab (F&amp;B Ops and CatMan) 10'!BC22,IF('Bid Tab (F&amp;B Ops and CatMan) 10'!BM22=Reference!$A$8,'Bid Tab (F&amp;B Ops and CatMan) 10'!BI22,IF('Bid Tab (F&amp;B Ops and CatMan) 10'!BS22=Reference!$A$8,'Bid Tab (F&amp;B Ops and CatMan) 10'!BO22,IF('Bid Tab (F&amp;B Ops and CatMan) 10'!BY22=Reference!$A$8,'Bid Tab (F&amp;B Ops and CatMan) 10'!BU22,IF('Bid Tab (F&amp;B Ops and CatMan) 10'!CE22=Reference!$A$8,'Bid Tab (F&amp;B Ops and CatMan) 10'!CA22,IF('Bid Tab (F&amp;B Ops and CatMan) 10'!CK22=Reference!$A$8,'Bid Tab (F&amp;B Ops and CatMan) 10'!CG22,IF('Bid Tab (F&amp;B Ops and CatMan) 10'!CQ22=Reference!$A$8,'Bid Tab (F&amp;B Ops and CatMan) 10'!CM22,0))))))))))</f>
        <v>0</v>
      </c>
      <c r="Y22" s="200" t="b">
        <f>IFERROR(IF(Reference!$A$8=HLOOKUP(Reference!$A$8,'Bid Tab (F&amp;B Ops and CatMan) 10'!AJ22:CQ22,1,0),TRUE,FALSE),FALSE)</f>
        <v>0</v>
      </c>
      <c r="Z22" s="200">
        <f>MIN(IF(AO22=Reference!$A$10,100000000,AK22),IF(AU22=Reference!$A$10,100000000,AQ22),IF(BA22=Reference!$A$10,100000000,AW22),IF(BG22=Reference!$A$10,100000000,BC22),IF(BM22=Reference!$A$10,100000000,BI22),IF(BS22=Reference!$A$10,100000000,BO22),IF(BY22=Reference!$A$10,100000000,BU22),IF(CE22=Reference!$A$10,100000000,CA22),IF(CK22=Reference!$A$10,100000000,CG22),IF(CQ22=Reference!$A$10,100000000,CM22))</f>
        <v>0</v>
      </c>
      <c r="AA22" s="200">
        <f t="shared" si="37"/>
        <v>0</v>
      </c>
      <c r="AB22" s="200">
        <f ca="1">IF(Reference!A29&gt;0,Reference!A29,MAX(IF(TODAY()-H22&lt;365,IF(G22&gt;=N22,G22,P22),P22),G22))</f>
        <v>0</v>
      </c>
      <c r="AC22" s="200">
        <f t="shared" ca="1" si="6"/>
        <v>0</v>
      </c>
      <c r="AD22" s="200">
        <f t="shared" ca="1" si="7"/>
        <v>0</v>
      </c>
      <c r="AE22" s="200">
        <f t="shared" ca="1" si="8"/>
        <v>0</v>
      </c>
      <c r="AF22" s="202" t="str">
        <f t="shared" ca="1" si="38"/>
        <v xml:space="preserve"> </v>
      </c>
      <c r="AG22" s="203">
        <f t="shared" si="9"/>
        <v>0</v>
      </c>
      <c r="AH22" s="204">
        <f t="shared" si="10"/>
        <v>0</v>
      </c>
      <c r="AI22" s="205">
        <f t="shared" si="11"/>
        <v>0</v>
      </c>
      <c r="AJ22" s="209"/>
      <c r="AK22" s="137"/>
      <c r="AL22" s="206">
        <f t="shared" si="12"/>
        <v>0</v>
      </c>
      <c r="AM22" s="207">
        <f t="shared" si="13"/>
        <v>0</v>
      </c>
      <c r="AN22" s="123"/>
      <c r="AO22" s="208"/>
      <c r="AP22" s="209"/>
      <c r="AQ22" s="137"/>
      <c r="AR22" s="206">
        <f t="shared" si="14"/>
        <v>0</v>
      </c>
      <c r="AS22" s="207">
        <f t="shared" si="15"/>
        <v>0</v>
      </c>
      <c r="AT22" s="123"/>
      <c r="AU22" s="208"/>
      <c r="AV22" s="209"/>
      <c r="AW22" s="137"/>
      <c r="AX22" s="206">
        <f t="shared" si="16"/>
        <v>0</v>
      </c>
      <c r="AY22" s="207">
        <f t="shared" si="17"/>
        <v>0</v>
      </c>
      <c r="AZ22" s="123"/>
      <c r="BA22" s="208"/>
      <c r="BB22" s="209"/>
      <c r="BC22" s="137"/>
      <c r="BD22" s="206">
        <f t="shared" si="39"/>
        <v>0</v>
      </c>
      <c r="BE22" s="207">
        <f t="shared" si="18"/>
        <v>0</v>
      </c>
      <c r="BF22" s="123"/>
      <c r="BG22" s="208"/>
      <c r="BH22" s="209"/>
      <c r="BI22" s="137"/>
      <c r="BJ22" s="206">
        <f t="shared" si="19"/>
        <v>0</v>
      </c>
      <c r="BK22" s="207">
        <f t="shared" si="20"/>
        <v>0</v>
      </c>
      <c r="BL22" s="123"/>
      <c r="BM22" s="208"/>
      <c r="BN22" s="209"/>
      <c r="BO22" s="137"/>
      <c r="BP22" s="206">
        <f t="shared" si="21"/>
        <v>0</v>
      </c>
      <c r="BQ22" s="207">
        <f t="shared" si="22"/>
        <v>0</v>
      </c>
      <c r="BR22" s="123"/>
      <c r="BS22" s="208"/>
      <c r="BT22" s="209"/>
      <c r="BU22" s="137"/>
      <c r="BV22" s="206">
        <f t="shared" si="23"/>
        <v>0</v>
      </c>
      <c r="BW22" s="207">
        <f t="shared" si="24"/>
        <v>0</v>
      </c>
      <c r="BX22" s="123"/>
      <c r="BY22" s="208"/>
      <c r="BZ22" s="209"/>
      <c r="CA22" s="137"/>
      <c r="CB22" s="206">
        <f t="shared" ref="CB22" si="71">IFERROR(CA22*$D22,0)</f>
        <v>0</v>
      </c>
      <c r="CC22" s="207">
        <f t="shared" si="26"/>
        <v>0</v>
      </c>
      <c r="CD22" s="123"/>
      <c r="CE22" s="208"/>
      <c r="CF22" s="209"/>
      <c r="CG22" s="137"/>
      <c r="CH22" s="206">
        <f t="shared" ref="CH22" si="72">IFERROR(CG22*$D22,0)</f>
        <v>0</v>
      </c>
      <c r="CI22" s="207">
        <f t="shared" si="28"/>
        <v>0</v>
      </c>
      <c r="CJ22" s="123"/>
      <c r="CK22" s="208"/>
      <c r="CL22" s="209"/>
      <c r="CM22" s="137"/>
      <c r="CN22" s="206">
        <f t="shared" ref="CN22" si="73">IFERROR(CM22*$D22,0)</f>
        <v>0</v>
      </c>
      <c r="CO22" s="207">
        <f t="shared" si="30"/>
        <v>0</v>
      </c>
      <c r="CP22" s="123"/>
      <c r="CQ22" s="208"/>
    </row>
    <row r="23" spans="1:95" s="118" customFormat="1" ht="15" outlineLevel="1" x14ac:dyDescent="0.25">
      <c r="A23" s="119">
        <v>13</v>
      </c>
      <c r="B23" s="57"/>
      <c r="C23" s="120"/>
      <c r="D23" s="58"/>
      <c r="E23" s="124"/>
      <c r="F23" s="121"/>
      <c r="G23" s="60"/>
      <c r="H23" s="122"/>
      <c r="I23" s="200">
        <f t="shared" si="31"/>
        <v>0</v>
      </c>
      <c r="J23" s="60"/>
      <c r="K23" s="125"/>
      <c r="L23" s="233">
        <f t="shared" si="32"/>
        <v>0</v>
      </c>
      <c r="M23" s="232" t="str">
        <f t="shared" si="43"/>
        <v/>
      </c>
      <c r="N23" s="232">
        <f t="shared" si="33"/>
        <v>0</v>
      </c>
      <c r="O23" s="232">
        <f t="shared" si="34"/>
        <v>0</v>
      </c>
      <c r="P23" s="232">
        <f>MIN(IF($AO23=Reference!$A$10,100000000,AJ23),IF($AU23=Reference!$A$10,100000000,AP23),IF($BA23=Reference!$A$10,100000000,AV23),IF($BG23=Reference!$A$10,100000000,BB23),IF($BM23=Reference!$A$10,100000000,BH23),IF($BS23=Reference!$A$10,100000000,BN23),IF($BY23=Reference!$A$10,100000000,BT23),IF($CE23=Reference!$A$10,100000000,BZ23),IF($CK23=Reference!$A$10,100000000,CF23),IF($CQ23=Reference!$A$10,100000000,CL23))</f>
        <v>0</v>
      </c>
      <c r="Q23" s="200" t="b">
        <f t="shared" si="1"/>
        <v>0</v>
      </c>
      <c r="R23" s="251">
        <f t="shared" si="2"/>
        <v>0</v>
      </c>
      <c r="S23" s="200" t="b">
        <f t="shared" si="35"/>
        <v>1</v>
      </c>
      <c r="T23" s="200" t="str">
        <f t="shared" si="3"/>
        <v/>
      </c>
      <c r="U23" s="252" t="str">
        <f t="shared" si="4"/>
        <v/>
      </c>
      <c r="V23" s="200" t="b">
        <f t="shared" si="5"/>
        <v>1</v>
      </c>
      <c r="W23" s="200" t="str">
        <f t="shared" si="36"/>
        <v>VENDOR 1</v>
      </c>
      <c r="X23" s="200">
        <f>IF(AO23=Reference!$A$8,'Bid Tab (F&amp;B Ops and CatMan) 10'!AK23,IF('Bid Tab (F&amp;B Ops and CatMan) 10'!AU23=Reference!$A$8,'Bid Tab (F&amp;B Ops and CatMan) 10'!AQ23,IF('Bid Tab (F&amp;B Ops and CatMan) 10'!BA23=Reference!$A$8,'Bid Tab (F&amp;B Ops and CatMan) 10'!AW23,IF('Bid Tab (F&amp;B Ops and CatMan) 10'!BG23=Reference!$A$8,'Bid Tab (F&amp;B Ops and CatMan) 10'!BC23,IF('Bid Tab (F&amp;B Ops and CatMan) 10'!BM23=Reference!$A$8,'Bid Tab (F&amp;B Ops and CatMan) 10'!BI23,IF('Bid Tab (F&amp;B Ops and CatMan) 10'!BS23=Reference!$A$8,'Bid Tab (F&amp;B Ops and CatMan) 10'!BO23,IF('Bid Tab (F&amp;B Ops and CatMan) 10'!BY23=Reference!$A$8,'Bid Tab (F&amp;B Ops and CatMan) 10'!BU23,IF('Bid Tab (F&amp;B Ops and CatMan) 10'!CE23=Reference!$A$8,'Bid Tab (F&amp;B Ops and CatMan) 10'!CA23,IF('Bid Tab (F&amp;B Ops and CatMan) 10'!CK23=Reference!$A$8,'Bid Tab (F&amp;B Ops and CatMan) 10'!CG23,IF('Bid Tab (F&amp;B Ops and CatMan) 10'!CQ23=Reference!$A$8,'Bid Tab (F&amp;B Ops and CatMan) 10'!CM23,0))))))))))</f>
        <v>0</v>
      </c>
      <c r="Y23" s="200" t="b">
        <f>IFERROR(IF(Reference!$A$8=HLOOKUP(Reference!$A$8,'Bid Tab (F&amp;B Ops and CatMan) 10'!AJ23:CQ23,1,0),TRUE,FALSE),FALSE)</f>
        <v>0</v>
      </c>
      <c r="Z23" s="200">
        <f>MIN(IF(AO23=Reference!$A$10,100000000,AK23),IF(AU23=Reference!$A$10,100000000,AQ23),IF(BA23=Reference!$A$10,100000000,AW23),IF(BG23=Reference!$A$10,100000000,BC23),IF(BM23=Reference!$A$10,100000000,BI23),IF(BS23=Reference!$A$10,100000000,BO23),IF(BY23=Reference!$A$10,100000000,BU23),IF(CE23=Reference!$A$10,100000000,CA23),IF(CK23=Reference!$A$10,100000000,CG23),IF(CQ23=Reference!$A$10,100000000,CM23))</f>
        <v>0</v>
      </c>
      <c r="AA23" s="200">
        <f t="shared" si="37"/>
        <v>0</v>
      </c>
      <c r="AB23" s="200">
        <f ca="1">IF(Reference!A30&gt;0,Reference!A30,MAX(IF(TODAY()-H23&lt;365,IF(G23&gt;=N23,G23,P23),P23),G23))</f>
        <v>0</v>
      </c>
      <c r="AC23" s="200">
        <f t="shared" ca="1" si="6"/>
        <v>0</v>
      </c>
      <c r="AD23" s="200">
        <f t="shared" ca="1" si="7"/>
        <v>0</v>
      </c>
      <c r="AE23" s="200">
        <f t="shared" ca="1" si="8"/>
        <v>0</v>
      </c>
      <c r="AF23" s="202" t="str">
        <f t="shared" ca="1" si="38"/>
        <v xml:space="preserve"> </v>
      </c>
      <c r="AG23" s="203">
        <f t="shared" si="9"/>
        <v>0</v>
      </c>
      <c r="AH23" s="204">
        <f t="shared" si="10"/>
        <v>0</v>
      </c>
      <c r="AI23" s="205">
        <f t="shared" si="11"/>
        <v>0</v>
      </c>
      <c r="AJ23" s="209"/>
      <c r="AK23" s="137"/>
      <c r="AL23" s="206">
        <f t="shared" si="12"/>
        <v>0</v>
      </c>
      <c r="AM23" s="207">
        <f t="shared" si="13"/>
        <v>0</v>
      </c>
      <c r="AN23" s="123"/>
      <c r="AO23" s="208"/>
      <c r="AP23" s="209"/>
      <c r="AQ23" s="137"/>
      <c r="AR23" s="206">
        <f t="shared" si="14"/>
        <v>0</v>
      </c>
      <c r="AS23" s="207">
        <f t="shared" si="15"/>
        <v>0</v>
      </c>
      <c r="AT23" s="123"/>
      <c r="AU23" s="208"/>
      <c r="AV23" s="209"/>
      <c r="AW23" s="137"/>
      <c r="AX23" s="206">
        <f t="shared" si="16"/>
        <v>0</v>
      </c>
      <c r="AY23" s="207">
        <f t="shared" si="17"/>
        <v>0</v>
      </c>
      <c r="AZ23" s="123"/>
      <c r="BA23" s="208"/>
      <c r="BB23" s="209"/>
      <c r="BC23" s="137"/>
      <c r="BD23" s="206">
        <f t="shared" si="39"/>
        <v>0</v>
      </c>
      <c r="BE23" s="207">
        <f t="shared" si="18"/>
        <v>0</v>
      </c>
      <c r="BF23" s="123"/>
      <c r="BG23" s="208"/>
      <c r="BH23" s="209"/>
      <c r="BI23" s="137"/>
      <c r="BJ23" s="206">
        <f t="shared" si="19"/>
        <v>0</v>
      </c>
      <c r="BK23" s="207">
        <f t="shared" si="20"/>
        <v>0</v>
      </c>
      <c r="BL23" s="123"/>
      <c r="BM23" s="208"/>
      <c r="BN23" s="209"/>
      <c r="BO23" s="137"/>
      <c r="BP23" s="206">
        <f t="shared" si="21"/>
        <v>0</v>
      </c>
      <c r="BQ23" s="207">
        <f t="shared" si="22"/>
        <v>0</v>
      </c>
      <c r="BR23" s="123"/>
      <c r="BS23" s="208"/>
      <c r="BT23" s="209"/>
      <c r="BU23" s="137"/>
      <c r="BV23" s="206">
        <f t="shared" si="23"/>
        <v>0</v>
      </c>
      <c r="BW23" s="207">
        <f t="shared" si="24"/>
        <v>0</v>
      </c>
      <c r="BX23" s="123"/>
      <c r="BY23" s="208"/>
      <c r="BZ23" s="209"/>
      <c r="CA23" s="137"/>
      <c r="CB23" s="206">
        <f t="shared" ref="CB23" si="74">IFERROR(CA23*$D23,0)</f>
        <v>0</v>
      </c>
      <c r="CC23" s="207">
        <f t="shared" si="26"/>
        <v>0</v>
      </c>
      <c r="CD23" s="123"/>
      <c r="CE23" s="208"/>
      <c r="CF23" s="209"/>
      <c r="CG23" s="137"/>
      <c r="CH23" s="206">
        <f t="shared" ref="CH23" si="75">IFERROR(CG23*$D23,0)</f>
        <v>0</v>
      </c>
      <c r="CI23" s="207">
        <f t="shared" si="28"/>
        <v>0</v>
      </c>
      <c r="CJ23" s="123"/>
      <c r="CK23" s="208"/>
      <c r="CL23" s="209"/>
      <c r="CM23" s="137"/>
      <c r="CN23" s="206">
        <f t="shared" ref="CN23" si="76">IFERROR(CM23*$D23,0)</f>
        <v>0</v>
      </c>
      <c r="CO23" s="207">
        <f t="shared" si="30"/>
        <v>0</v>
      </c>
      <c r="CP23" s="123"/>
      <c r="CQ23" s="208"/>
    </row>
    <row r="24" spans="1:95" s="118" customFormat="1" ht="15" outlineLevel="1" x14ac:dyDescent="0.25">
      <c r="A24" s="119">
        <v>14</v>
      </c>
      <c r="B24" s="57"/>
      <c r="C24" s="120"/>
      <c r="D24" s="58"/>
      <c r="E24" s="124"/>
      <c r="F24" s="121"/>
      <c r="G24" s="60"/>
      <c r="H24" s="122"/>
      <c r="I24" s="200">
        <f t="shared" si="31"/>
        <v>0</v>
      </c>
      <c r="J24" s="60"/>
      <c r="K24" s="125"/>
      <c r="L24" s="233">
        <f t="shared" si="32"/>
        <v>0</v>
      </c>
      <c r="M24" s="232" t="str">
        <f t="shared" si="43"/>
        <v/>
      </c>
      <c r="N24" s="232">
        <f t="shared" si="33"/>
        <v>0</v>
      </c>
      <c r="O24" s="232">
        <f t="shared" si="34"/>
        <v>0</v>
      </c>
      <c r="P24" s="232">
        <f>MIN(IF($AO24=Reference!$A$10,100000000,AJ24),IF($AU24=Reference!$A$10,100000000,AP24),IF($BA24=Reference!$A$10,100000000,AV24),IF($BG24=Reference!$A$10,100000000,BB24),IF($BM24=Reference!$A$10,100000000,BH24),IF($BS24=Reference!$A$10,100000000,BN24),IF($BY24=Reference!$A$10,100000000,BT24),IF($CE24=Reference!$A$10,100000000,BZ24),IF($CK24=Reference!$A$10,100000000,CF24),IF($CQ24=Reference!$A$10,100000000,CL24))</f>
        <v>0</v>
      </c>
      <c r="Q24" s="200" t="b">
        <f t="shared" si="1"/>
        <v>0</v>
      </c>
      <c r="R24" s="251">
        <f t="shared" si="2"/>
        <v>0</v>
      </c>
      <c r="S24" s="200" t="b">
        <f t="shared" si="35"/>
        <v>1</v>
      </c>
      <c r="T24" s="200" t="str">
        <f t="shared" si="3"/>
        <v/>
      </c>
      <c r="U24" s="252" t="str">
        <f t="shared" si="4"/>
        <v/>
      </c>
      <c r="V24" s="200" t="b">
        <f t="shared" si="5"/>
        <v>1</v>
      </c>
      <c r="W24" s="200" t="str">
        <f t="shared" si="36"/>
        <v>VENDOR 1</v>
      </c>
      <c r="X24" s="200">
        <f>IF(AO24=Reference!$A$8,'Bid Tab (F&amp;B Ops and CatMan) 10'!AK24,IF('Bid Tab (F&amp;B Ops and CatMan) 10'!AU24=Reference!$A$8,'Bid Tab (F&amp;B Ops and CatMan) 10'!AQ24,IF('Bid Tab (F&amp;B Ops and CatMan) 10'!BA24=Reference!$A$8,'Bid Tab (F&amp;B Ops and CatMan) 10'!AW24,IF('Bid Tab (F&amp;B Ops and CatMan) 10'!BG24=Reference!$A$8,'Bid Tab (F&amp;B Ops and CatMan) 10'!BC24,IF('Bid Tab (F&amp;B Ops and CatMan) 10'!BM24=Reference!$A$8,'Bid Tab (F&amp;B Ops and CatMan) 10'!BI24,IF('Bid Tab (F&amp;B Ops and CatMan) 10'!BS24=Reference!$A$8,'Bid Tab (F&amp;B Ops and CatMan) 10'!BO24,IF('Bid Tab (F&amp;B Ops and CatMan) 10'!BY24=Reference!$A$8,'Bid Tab (F&amp;B Ops and CatMan) 10'!BU24,IF('Bid Tab (F&amp;B Ops and CatMan) 10'!CE24=Reference!$A$8,'Bid Tab (F&amp;B Ops and CatMan) 10'!CA24,IF('Bid Tab (F&amp;B Ops and CatMan) 10'!CK24=Reference!$A$8,'Bid Tab (F&amp;B Ops and CatMan) 10'!CG24,IF('Bid Tab (F&amp;B Ops and CatMan) 10'!CQ24=Reference!$A$8,'Bid Tab (F&amp;B Ops and CatMan) 10'!CM24,0))))))))))</f>
        <v>0</v>
      </c>
      <c r="Y24" s="200" t="b">
        <f>IFERROR(IF(Reference!$A$8=HLOOKUP(Reference!$A$8,'Bid Tab (F&amp;B Ops and CatMan) 10'!AJ24:CQ24,1,0),TRUE,FALSE),FALSE)</f>
        <v>0</v>
      </c>
      <c r="Z24" s="200">
        <f>MIN(IF(AO24=Reference!$A$10,100000000,AK24),IF(AU24=Reference!$A$10,100000000,AQ24),IF(BA24=Reference!$A$10,100000000,AW24),IF(BG24=Reference!$A$10,100000000,BC24),IF(BM24=Reference!$A$10,100000000,BI24),IF(BS24=Reference!$A$10,100000000,BO24),IF(BY24=Reference!$A$10,100000000,BU24),IF(CE24=Reference!$A$10,100000000,CA24),IF(CK24=Reference!$A$10,100000000,CG24),IF(CQ24=Reference!$A$10,100000000,CM24))</f>
        <v>0</v>
      </c>
      <c r="AA24" s="200">
        <f t="shared" si="37"/>
        <v>0</v>
      </c>
      <c r="AB24" s="200">
        <f ca="1">IF(Reference!A31&gt;0,Reference!A31,MAX(IF(TODAY()-H24&lt;365,IF(G24&gt;=N24,G24,P24),P24),G24))</f>
        <v>0</v>
      </c>
      <c r="AC24" s="200">
        <f t="shared" ca="1" si="6"/>
        <v>0</v>
      </c>
      <c r="AD24" s="200">
        <f t="shared" ca="1" si="7"/>
        <v>0</v>
      </c>
      <c r="AE24" s="200">
        <f t="shared" ca="1" si="8"/>
        <v>0</v>
      </c>
      <c r="AF24" s="202" t="str">
        <f t="shared" ca="1" si="38"/>
        <v xml:space="preserve"> </v>
      </c>
      <c r="AG24" s="203">
        <f t="shared" si="9"/>
        <v>0</v>
      </c>
      <c r="AH24" s="204">
        <f t="shared" si="10"/>
        <v>0</v>
      </c>
      <c r="AI24" s="205">
        <f t="shared" si="11"/>
        <v>0</v>
      </c>
      <c r="AJ24" s="209"/>
      <c r="AK24" s="137"/>
      <c r="AL24" s="206">
        <f t="shared" si="12"/>
        <v>0</v>
      </c>
      <c r="AM24" s="207">
        <f t="shared" si="13"/>
        <v>0</v>
      </c>
      <c r="AN24" s="123"/>
      <c r="AO24" s="208"/>
      <c r="AP24" s="209"/>
      <c r="AQ24" s="137"/>
      <c r="AR24" s="206">
        <f t="shared" si="14"/>
        <v>0</v>
      </c>
      <c r="AS24" s="207">
        <f t="shared" si="15"/>
        <v>0</v>
      </c>
      <c r="AT24" s="123"/>
      <c r="AU24" s="208"/>
      <c r="AV24" s="209"/>
      <c r="AW24" s="137"/>
      <c r="AX24" s="206">
        <f t="shared" si="16"/>
        <v>0</v>
      </c>
      <c r="AY24" s="207">
        <f t="shared" si="17"/>
        <v>0</v>
      </c>
      <c r="AZ24" s="123"/>
      <c r="BA24" s="208"/>
      <c r="BB24" s="209"/>
      <c r="BC24" s="137"/>
      <c r="BD24" s="206">
        <f t="shared" si="39"/>
        <v>0</v>
      </c>
      <c r="BE24" s="207">
        <f t="shared" si="18"/>
        <v>0</v>
      </c>
      <c r="BF24" s="123"/>
      <c r="BG24" s="208"/>
      <c r="BH24" s="209"/>
      <c r="BI24" s="137"/>
      <c r="BJ24" s="206">
        <f t="shared" si="19"/>
        <v>0</v>
      </c>
      <c r="BK24" s="207">
        <f t="shared" si="20"/>
        <v>0</v>
      </c>
      <c r="BL24" s="123"/>
      <c r="BM24" s="208"/>
      <c r="BN24" s="209"/>
      <c r="BO24" s="137"/>
      <c r="BP24" s="206">
        <f t="shared" si="21"/>
        <v>0</v>
      </c>
      <c r="BQ24" s="207">
        <f t="shared" si="22"/>
        <v>0</v>
      </c>
      <c r="BR24" s="123"/>
      <c r="BS24" s="208"/>
      <c r="BT24" s="209"/>
      <c r="BU24" s="137"/>
      <c r="BV24" s="206">
        <f t="shared" si="23"/>
        <v>0</v>
      </c>
      <c r="BW24" s="207">
        <f t="shared" si="24"/>
        <v>0</v>
      </c>
      <c r="BX24" s="123"/>
      <c r="BY24" s="208"/>
      <c r="BZ24" s="209"/>
      <c r="CA24" s="137"/>
      <c r="CB24" s="206">
        <f t="shared" ref="CB24" si="77">IFERROR(CA24*$D24,0)</f>
        <v>0</v>
      </c>
      <c r="CC24" s="207">
        <f t="shared" si="26"/>
        <v>0</v>
      </c>
      <c r="CD24" s="123"/>
      <c r="CE24" s="208"/>
      <c r="CF24" s="209"/>
      <c r="CG24" s="137"/>
      <c r="CH24" s="206">
        <f t="shared" ref="CH24" si="78">IFERROR(CG24*$D24,0)</f>
        <v>0</v>
      </c>
      <c r="CI24" s="207">
        <f t="shared" si="28"/>
        <v>0</v>
      </c>
      <c r="CJ24" s="123"/>
      <c r="CK24" s="208"/>
      <c r="CL24" s="209"/>
      <c r="CM24" s="137"/>
      <c r="CN24" s="206">
        <f t="shared" ref="CN24" si="79">IFERROR(CM24*$D24,0)</f>
        <v>0</v>
      </c>
      <c r="CO24" s="207">
        <f t="shared" si="30"/>
        <v>0</v>
      </c>
      <c r="CP24" s="123"/>
      <c r="CQ24" s="208"/>
    </row>
    <row r="25" spans="1:95" s="118" customFormat="1" ht="15" outlineLevel="1" x14ac:dyDescent="0.25">
      <c r="A25" s="119">
        <v>15</v>
      </c>
      <c r="B25" s="57"/>
      <c r="C25" s="120"/>
      <c r="D25" s="58"/>
      <c r="E25" s="124"/>
      <c r="F25" s="121"/>
      <c r="G25" s="60"/>
      <c r="H25" s="122"/>
      <c r="I25" s="200">
        <f t="shared" si="31"/>
        <v>0</v>
      </c>
      <c r="J25" s="60"/>
      <c r="K25" s="125"/>
      <c r="L25" s="233">
        <f t="shared" si="32"/>
        <v>0</v>
      </c>
      <c r="M25" s="232" t="str">
        <f t="shared" si="43"/>
        <v/>
      </c>
      <c r="N25" s="232">
        <f t="shared" si="33"/>
        <v>0</v>
      </c>
      <c r="O25" s="232">
        <f t="shared" si="34"/>
        <v>0</v>
      </c>
      <c r="P25" s="232">
        <f>MIN(IF($AO25=Reference!$A$10,100000000,AJ25),IF($AU25=Reference!$A$10,100000000,AP25),IF($BA25=Reference!$A$10,100000000,AV25),IF($BG25=Reference!$A$10,100000000,BB25),IF($BM25=Reference!$A$10,100000000,BH25),IF($BS25=Reference!$A$10,100000000,BN25),IF($BY25=Reference!$A$10,100000000,BT25),IF($CE25=Reference!$A$10,100000000,BZ25),IF($CK25=Reference!$A$10,100000000,CF25),IF($CQ25=Reference!$A$10,100000000,CL25))</f>
        <v>0</v>
      </c>
      <c r="Q25" s="200" t="b">
        <f t="shared" si="1"/>
        <v>0</v>
      </c>
      <c r="R25" s="251">
        <f t="shared" si="2"/>
        <v>0</v>
      </c>
      <c r="S25" s="200" t="b">
        <f t="shared" si="35"/>
        <v>1</v>
      </c>
      <c r="T25" s="200" t="str">
        <f t="shared" si="3"/>
        <v/>
      </c>
      <c r="U25" s="252" t="str">
        <f t="shared" si="4"/>
        <v/>
      </c>
      <c r="V25" s="200" t="b">
        <f t="shared" si="5"/>
        <v>1</v>
      </c>
      <c r="W25" s="200" t="str">
        <f t="shared" si="36"/>
        <v>VENDOR 1</v>
      </c>
      <c r="X25" s="200">
        <f>IF(AO25=Reference!$A$8,'Bid Tab (F&amp;B Ops and CatMan) 10'!AK25,IF('Bid Tab (F&amp;B Ops and CatMan) 10'!AU25=Reference!$A$8,'Bid Tab (F&amp;B Ops and CatMan) 10'!AQ25,IF('Bid Tab (F&amp;B Ops and CatMan) 10'!BA25=Reference!$A$8,'Bid Tab (F&amp;B Ops and CatMan) 10'!AW25,IF('Bid Tab (F&amp;B Ops and CatMan) 10'!BG25=Reference!$A$8,'Bid Tab (F&amp;B Ops and CatMan) 10'!BC25,IF('Bid Tab (F&amp;B Ops and CatMan) 10'!BM25=Reference!$A$8,'Bid Tab (F&amp;B Ops and CatMan) 10'!BI25,IF('Bid Tab (F&amp;B Ops and CatMan) 10'!BS25=Reference!$A$8,'Bid Tab (F&amp;B Ops and CatMan) 10'!BO25,IF('Bid Tab (F&amp;B Ops and CatMan) 10'!BY25=Reference!$A$8,'Bid Tab (F&amp;B Ops and CatMan) 10'!BU25,IF('Bid Tab (F&amp;B Ops and CatMan) 10'!CE25=Reference!$A$8,'Bid Tab (F&amp;B Ops and CatMan) 10'!CA25,IF('Bid Tab (F&amp;B Ops and CatMan) 10'!CK25=Reference!$A$8,'Bid Tab (F&amp;B Ops and CatMan) 10'!CG25,IF('Bid Tab (F&amp;B Ops and CatMan) 10'!CQ25=Reference!$A$8,'Bid Tab (F&amp;B Ops and CatMan) 10'!CM25,0))))))))))</f>
        <v>0</v>
      </c>
      <c r="Y25" s="200" t="b">
        <f>IFERROR(IF(Reference!$A$8=HLOOKUP(Reference!$A$8,'Bid Tab (F&amp;B Ops and CatMan) 10'!AJ25:CQ25,1,0),TRUE,FALSE),FALSE)</f>
        <v>0</v>
      </c>
      <c r="Z25" s="200">
        <f>MIN(IF(AO25=Reference!$A$10,100000000,AK25),IF(AU25=Reference!$A$10,100000000,AQ25),IF(BA25=Reference!$A$10,100000000,AW25),IF(BG25=Reference!$A$10,100000000,BC25),IF(BM25=Reference!$A$10,100000000,BI25),IF(BS25=Reference!$A$10,100000000,BO25),IF(BY25=Reference!$A$10,100000000,BU25),IF(CE25=Reference!$A$10,100000000,CA25),IF(CK25=Reference!$A$10,100000000,CG25),IF(CQ25=Reference!$A$10,100000000,CM25))</f>
        <v>0</v>
      </c>
      <c r="AA25" s="200">
        <f t="shared" si="37"/>
        <v>0</v>
      </c>
      <c r="AB25" s="200">
        <f ca="1">IF(Reference!A32&gt;0,Reference!A32,MAX(IF(TODAY()-H25&lt;365,IF(G25&gt;=N25,G25,P25),P25),G25))</f>
        <v>0</v>
      </c>
      <c r="AC25" s="200">
        <f t="shared" ca="1" si="6"/>
        <v>0</v>
      </c>
      <c r="AD25" s="200">
        <f t="shared" ca="1" si="7"/>
        <v>0</v>
      </c>
      <c r="AE25" s="200">
        <f t="shared" ca="1" si="8"/>
        <v>0</v>
      </c>
      <c r="AF25" s="202" t="str">
        <f t="shared" ca="1" si="38"/>
        <v xml:space="preserve"> </v>
      </c>
      <c r="AG25" s="203">
        <f t="shared" si="9"/>
        <v>0</v>
      </c>
      <c r="AH25" s="204">
        <f t="shared" si="10"/>
        <v>0</v>
      </c>
      <c r="AI25" s="205">
        <f t="shared" si="11"/>
        <v>0</v>
      </c>
      <c r="AJ25" s="209"/>
      <c r="AK25" s="137"/>
      <c r="AL25" s="206">
        <f t="shared" si="12"/>
        <v>0</v>
      </c>
      <c r="AM25" s="207">
        <f t="shared" si="13"/>
        <v>0</v>
      </c>
      <c r="AN25" s="123"/>
      <c r="AO25" s="208"/>
      <c r="AP25" s="209"/>
      <c r="AQ25" s="137"/>
      <c r="AR25" s="206">
        <f t="shared" si="14"/>
        <v>0</v>
      </c>
      <c r="AS25" s="207">
        <f t="shared" si="15"/>
        <v>0</v>
      </c>
      <c r="AT25" s="123"/>
      <c r="AU25" s="208"/>
      <c r="AV25" s="209"/>
      <c r="AW25" s="137"/>
      <c r="AX25" s="206">
        <f t="shared" si="16"/>
        <v>0</v>
      </c>
      <c r="AY25" s="207">
        <f t="shared" si="17"/>
        <v>0</v>
      </c>
      <c r="AZ25" s="123"/>
      <c r="BA25" s="208"/>
      <c r="BB25" s="209"/>
      <c r="BC25" s="137"/>
      <c r="BD25" s="206">
        <f t="shared" si="39"/>
        <v>0</v>
      </c>
      <c r="BE25" s="207">
        <f t="shared" si="18"/>
        <v>0</v>
      </c>
      <c r="BF25" s="123"/>
      <c r="BG25" s="208"/>
      <c r="BH25" s="209"/>
      <c r="BI25" s="137"/>
      <c r="BJ25" s="206">
        <f t="shared" si="19"/>
        <v>0</v>
      </c>
      <c r="BK25" s="207">
        <f t="shared" si="20"/>
        <v>0</v>
      </c>
      <c r="BL25" s="123"/>
      <c r="BM25" s="208"/>
      <c r="BN25" s="209"/>
      <c r="BO25" s="137"/>
      <c r="BP25" s="206">
        <f t="shared" si="21"/>
        <v>0</v>
      </c>
      <c r="BQ25" s="207">
        <f t="shared" si="22"/>
        <v>0</v>
      </c>
      <c r="BR25" s="123"/>
      <c r="BS25" s="208"/>
      <c r="BT25" s="209"/>
      <c r="BU25" s="137"/>
      <c r="BV25" s="206">
        <f t="shared" si="23"/>
        <v>0</v>
      </c>
      <c r="BW25" s="207">
        <f t="shared" si="24"/>
        <v>0</v>
      </c>
      <c r="BX25" s="123"/>
      <c r="BY25" s="208"/>
      <c r="BZ25" s="209"/>
      <c r="CA25" s="137"/>
      <c r="CB25" s="206">
        <f t="shared" ref="CB25" si="80">IFERROR(CA25*$D25,0)</f>
        <v>0</v>
      </c>
      <c r="CC25" s="207">
        <f t="shared" si="26"/>
        <v>0</v>
      </c>
      <c r="CD25" s="123"/>
      <c r="CE25" s="208"/>
      <c r="CF25" s="209"/>
      <c r="CG25" s="137"/>
      <c r="CH25" s="206">
        <f t="shared" ref="CH25" si="81">IFERROR(CG25*$D25,0)</f>
        <v>0</v>
      </c>
      <c r="CI25" s="207">
        <f t="shared" si="28"/>
        <v>0</v>
      </c>
      <c r="CJ25" s="123"/>
      <c r="CK25" s="208"/>
      <c r="CL25" s="209"/>
      <c r="CM25" s="137"/>
      <c r="CN25" s="206">
        <f t="shared" ref="CN25" si="82">IFERROR(CM25*$D25,0)</f>
        <v>0</v>
      </c>
      <c r="CO25" s="207">
        <f t="shared" si="30"/>
        <v>0</v>
      </c>
      <c r="CP25" s="123"/>
      <c r="CQ25" s="208"/>
    </row>
    <row r="26" spans="1:95" s="118" customFormat="1" ht="15" outlineLevel="1" x14ac:dyDescent="0.25">
      <c r="A26" s="119">
        <v>16</v>
      </c>
      <c r="B26" s="57"/>
      <c r="C26" s="120"/>
      <c r="D26" s="58"/>
      <c r="E26" s="124"/>
      <c r="F26" s="121"/>
      <c r="G26" s="60"/>
      <c r="H26" s="122"/>
      <c r="I26" s="200">
        <f t="shared" si="31"/>
        <v>0</v>
      </c>
      <c r="J26" s="60"/>
      <c r="K26" s="125"/>
      <c r="L26" s="233">
        <f t="shared" si="32"/>
        <v>0</v>
      </c>
      <c r="M26" s="232" t="str">
        <f t="shared" si="43"/>
        <v/>
      </c>
      <c r="N26" s="232">
        <f t="shared" si="33"/>
        <v>0</v>
      </c>
      <c r="O26" s="232">
        <f t="shared" si="34"/>
        <v>0</v>
      </c>
      <c r="P26" s="232">
        <f>MIN(IF($AO26=Reference!$A$10,100000000,AJ26),IF($AU26=Reference!$A$10,100000000,AP26),IF($BA26=Reference!$A$10,100000000,AV26),IF($BG26=Reference!$A$10,100000000,BB26),IF($BM26=Reference!$A$10,100000000,BH26),IF($BS26=Reference!$A$10,100000000,BN26),IF($BY26=Reference!$A$10,100000000,BT26),IF($CE26=Reference!$A$10,100000000,BZ26),IF($CK26=Reference!$A$10,100000000,CF26),IF($CQ26=Reference!$A$10,100000000,CL26))</f>
        <v>0</v>
      </c>
      <c r="Q26" s="200" t="b">
        <f t="shared" si="1"/>
        <v>0</v>
      </c>
      <c r="R26" s="251">
        <f t="shared" si="2"/>
        <v>0</v>
      </c>
      <c r="S26" s="200" t="b">
        <f t="shared" si="35"/>
        <v>1</v>
      </c>
      <c r="T26" s="200" t="str">
        <f t="shared" si="3"/>
        <v/>
      </c>
      <c r="U26" s="252" t="str">
        <f t="shared" si="4"/>
        <v/>
      </c>
      <c r="V26" s="200" t="b">
        <f t="shared" si="5"/>
        <v>1</v>
      </c>
      <c r="W26" s="200" t="str">
        <f t="shared" si="36"/>
        <v>VENDOR 1</v>
      </c>
      <c r="X26" s="200">
        <f>IF(AO26=Reference!$A$8,'Bid Tab (F&amp;B Ops and CatMan) 10'!AK26,IF('Bid Tab (F&amp;B Ops and CatMan) 10'!AU26=Reference!$A$8,'Bid Tab (F&amp;B Ops and CatMan) 10'!AQ26,IF('Bid Tab (F&amp;B Ops and CatMan) 10'!BA26=Reference!$A$8,'Bid Tab (F&amp;B Ops and CatMan) 10'!AW26,IF('Bid Tab (F&amp;B Ops and CatMan) 10'!BG26=Reference!$A$8,'Bid Tab (F&amp;B Ops and CatMan) 10'!BC26,IF('Bid Tab (F&amp;B Ops and CatMan) 10'!BM26=Reference!$A$8,'Bid Tab (F&amp;B Ops and CatMan) 10'!BI26,IF('Bid Tab (F&amp;B Ops and CatMan) 10'!BS26=Reference!$A$8,'Bid Tab (F&amp;B Ops and CatMan) 10'!BO26,IF('Bid Tab (F&amp;B Ops and CatMan) 10'!BY26=Reference!$A$8,'Bid Tab (F&amp;B Ops and CatMan) 10'!BU26,IF('Bid Tab (F&amp;B Ops and CatMan) 10'!CE26=Reference!$A$8,'Bid Tab (F&amp;B Ops and CatMan) 10'!CA26,IF('Bid Tab (F&amp;B Ops and CatMan) 10'!CK26=Reference!$A$8,'Bid Tab (F&amp;B Ops and CatMan) 10'!CG26,IF('Bid Tab (F&amp;B Ops and CatMan) 10'!CQ26=Reference!$A$8,'Bid Tab (F&amp;B Ops and CatMan) 10'!CM26,0))))))))))</f>
        <v>0</v>
      </c>
      <c r="Y26" s="200" t="b">
        <f>IFERROR(IF(Reference!$A$8=HLOOKUP(Reference!$A$8,'Bid Tab (F&amp;B Ops and CatMan) 10'!AJ26:CQ26,1,0),TRUE,FALSE),FALSE)</f>
        <v>0</v>
      </c>
      <c r="Z26" s="200">
        <f>MIN(IF(AO26=Reference!$A$10,100000000,AK26),IF(AU26=Reference!$A$10,100000000,AQ26),IF(BA26=Reference!$A$10,100000000,AW26),IF(BG26=Reference!$A$10,100000000,BC26),IF(BM26=Reference!$A$10,100000000,BI26),IF(BS26=Reference!$A$10,100000000,BO26),IF(BY26=Reference!$A$10,100000000,BU26),IF(CE26=Reference!$A$10,100000000,CA26),IF(CK26=Reference!$A$10,100000000,CG26),IF(CQ26=Reference!$A$10,100000000,CM26))</f>
        <v>0</v>
      </c>
      <c r="AA26" s="200">
        <f t="shared" si="37"/>
        <v>0</v>
      </c>
      <c r="AB26" s="200">
        <f ca="1">IF(Reference!A33&gt;0,Reference!A33,MAX(IF(TODAY()-H26&lt;365,IF(G26&gt;=N26,G26,P26),P26),G26))</f>
        <v>0</v>
      </c>
      <c r="AC26" s="200">
        <f t="shared" ca="1" si="6"/>
        <v>0</v>
      </c>
      <c r="AD26" s="200">
        <f t="shared" ca="1" si="7"/>
        <v>0</v>
      </c>
      <c r="AE26" s="200">
        <f t="shared" ca="1" si="8"/>
        <v>0</v>
      </c>
      <c r="AF26" s="202" t="str">
        <f t="shared" ca="1" si="38"/>
        <v xml:space="preserve"> </v>
      </c>
      <c r="AG26" s="203">
        <f t="shared" si="9"/>
        <v>0</v>
      </c>
      <c r="AH26" s="204">
        <f t="shared" si="10"/>
        <v>0</v>
      </c>
      <c r="AI26" s="205">
        <f t="shared" si="11"/>
        <v>0</v>
      </c>
      <c r="AJ26" s="209"/>
      <c r="AK26" s="137"/>
      <c r="AL26" s="206">
        <f t="shared" si="12"/>
        <v>0</v>
      </c>
      <c r="AM26" s="207">
        <f t="shared" si="13"/>
        <v>0</v>
      </c>
      <c r="AN26" s="123"/>
      <c r="AO26" s="208"/>
      <c r="AP26" s="209"/>
      <c r="AQ26" s="137"/>
      <c r="AR26" s="206">
        <f t="shared" si="14"/>
        <v>0</v>
      </c>
      <c r="AS26" s="207">
        <f t="shared" si="15"/>
        <v>0</v>
      </c>
      <c r="AT26" s="123"/>
      <c r="AU26" s="208"/>
      <c r="AV26" s="209"/>
      <c r="AW26" s="137"/>
      <c r="AX26" s="206">
        <f t="shared" si="16"/>
        <v>0</v>
      </c>
      <c r="AY26" s="207">
        <f t="shared" si="17"/>
        <v>0</v>
      </c>
      <c r="AZ26" s="123"/>
      <c r="BA26" s="208"/>
      <c r="BB26" s="209"/>
      <c r="BC26" s="137"/>
      <c r="BD26" s="206">
        <f t="shared" si="39"/>
        <v>0</v>
      </c>
      <c r="BE26" s="207">
        <f t="shared" si="18"/>
        <v>0</v>
      </c>
      <c r="BF26" s="123"/>
      <c r="BG26" s="208"/>
      <c r="BH26" s="209"/>
      <c r="BI26" s="137"/>
      <c r="BJ26" s="206">
        <f t="shared" si="19"/>
        <v>0</v>
      </c>
      <c r="BK26" s="207">
        <f t="shared" si="20"/>
        <v>0</v>
      </c>
      <c r="BL26" s="123"/>
      <c r="BM26" s="208"/>
      <c r="BN26" s="209"/>
      <c r="BO26" s="137"/>
      <c r="BP26" s="206">
        <f t="shared" si="21"/>
        <v>0</v>
      </c>
      <c r="BQ26" s="207">
        <f t="shared" si="22"/>
        <v>0</v>
      </c>
      <c r="BR26" s="123"/>
      <c r="BS26" s="208"/>
      <c r="BT26" s="209"/>
      <c r="BU26" s="137"/>
      <c r="BV26" s="206">
        <f t="shared" si="23"/>
        <v>0</v>
      </c>
      <c r="BW26" s="207">
        <f t="shared" si="24"/>
        <v>0</v>
      </c>
      <c r="BX26" s="123"/>
      <c r="BY26" s="208"/>
      <c r="BZ26" s="209"/>
      <c r="CA26" s="137"/>
      <c r="CB26" s="206">
        <f t="shared" ref="CB26:CB28" si="83">IFERROR(CA26*$D26,0)</f>
        <v>0</v>
      </c>
      <c r="CC26" s="207">
        <f t="shared" ref="CC26:CC27" si="84">IFERROR(($G26-CA26)/$G26,0)</f>
        <v>0</v>
      </c>
      <c r="CD26" s="123"/>
      <c r="CE26" s="208"/>
      <c r="CF26" s="209"/>
      <c r="CG26" s="137"/>
      <c r="CH26" s="206">
        <f t="shared" ref="CH26:CH28" si="85">IFERROR(CG26*$D26,0)</f>
        <v>0</v>
      </c>
      <c r="CI26" s="207">
        <f t="shared" ref="CI26:CI27" si="86">IFERROR(($G26-CG26)/$G26,0)</f>
        <v>0</v>
      </c>
      <c r="CJ26" s="123"/>
      <c r="CK26" s="208"/>
      <c r="CL26" s="209"/>
      <c r="CM26" s="137"/>
      <c r="CN26" s="206">
        <f t="shared" ref="CN26:CN28" si="87">IFERROR(CM26*$D26,0)</f>
        <v>0</v>
      </c>
      <c r="CO26" s="207">
        <f t="shared" ref="CO26:CO27" si="88">IFERROR(($G26-CM26)/$G26,0)</f>
        <v>0</v>
      </c>
      <c r="CP26" s="123"/>
      <c r="CQ26" s="208"/>
    </row>
    <row r="27" spans="1:95" s="118" customFormat="1" ht="15" outlineLevel="1" x14ac:dyDescent="0.25">
      <c r="A27" s="119">
        <v>17</v>
      </c>
      <c r="B27" s="57"/>
      <c r="C27" s="120"/>
      <c r="D27" s="58"/>
      <c r="E27" s="124"/>
      <c r="F27" s="121"/>
      <c r="G27" s="60"/>
      <c r="H27" s="122"/>
      <c r="I27" s="200">
        <f t="shared" si="31"/>
        <v>0</v>
      </c>
      <c r="J27" s="60"/>
      <c r="K27" s="125"/>
      <c r="L27" s="233">
        <f t="shared" si="32"/>
        <v>0</v>
      </c>
      <c r="M27" s="232" t="str">
        <f t="shared" si="43"/>
        <v/>
      </c>
      <c r="N27" s="232">
        <f t="shared" si="33"/>
        <v>0</v>
      </c>
      <c r="O27" s="232">
        <f t="shared" si="34"/>
        <v>0</v>
      </c>
      <c r="P27" s="232">
        <f>MIN(IF($AO27=Reference!$A$10,100000000,AJ27),IF($AU27=Reference!$A$10,100000000,AP27),IF($BA27=Reference!$A$10,100000000,AV27),IF($BG27=Reference!$A$10,100000000,BB27),IF($BM27=Reference!$A$10,100000000,BH27),IF($BS27=Reference!$A$10,100000000,BN27),IF($BY27=Reference!$A$10,100000000,BT27),IF($CE27=Reference!$A$10,100000000,BZ27),IF($CK27=Reference!$A$10,100000000,CF27),IF($CQ27=Reference!$A$10,100000000,CL27))</f>
        <v>0</v>
      </c>
      <c r="Q27" s="200" t="b">
        <f t="shared" si="1"/>
        <v>0</v>
      </c>
      <c r="R27" s="251">
        <f t="shared" si="2"/>
        <v>0</v>
      </c>
      <c r="S27" s="200" t="b">
        <f t="shared" si="35"/>
        <v>1</v>
      </c>
      <c r="T27" s="200" t="str">
        <f t="shared" si="3"/>
        <v/>
      </c>
      <c r="U27" s="252" t="str">
        <f t="shared" si="4"/>
        <v/>
      </c>
      <c r="V27" s="200" t="b">
        <f t="shared" si="5"/>
        <v>1</v>
      </c>
      <c r="W27" s="200" t="str">
        <f t="shared" si="36"/>
        <v>VENDOR 1</v>
      </c>
      <c r="X27" s="200">
        <f>IF(AO27=Reference!$A$8,'Bid Tab (F&amp;B Ops and CatMan) 10'!AK27,IF('Bid Tab (F&amp;B Ops and CatMan) 10'!AU27=Reference!$A$8,'Bid Tab (F&amp;B Ops and CatMan) 10'!AQ27,IF('Bid Tab (F&amp;B Ops and CatMan) 10'!BA27=Reference!$A$8,'Bid Tab (F&amp;B Ops and CatMan) 10'!AW27,IF('Bid Tab (F&amp;B Ops and CatMan) 10'!BG27=Reference!$A$8,'Bid Tab (F&amp;B Ops and CatMan) 10'!BC27,IF('Bid Tab (F&amp;B Ops and CatMan) 10'!BM27=Reference!$A$8,'Bid Tab (F&amp;B Ops and CatMan) 10'!BI27,IF('Bid Tab (F&amp;B Ops and CatMan) 10'!BS27=Reference!$A$8,'Bid Tab (F&amp;B Ops and CatMan) 10'!BO27,IF('Bid Tab (F&amp;B Ops and CatMan) 10'!BY27=Reference!$A$8,'Bid Tab (F&amp;B Ops and CatMan) 10'!BU27,IF('Bid Tab (F&amp;B Ops and CatMan) 10'!CE27=Reference!$A$8,'Bid Tab (F&amp;B Ops and CatMan) 10'!CA27,IF('Bid Tab (F&amp;B Ops and CatMan) 10'!CK27=Reference!$A$8,'Bid Tab (F&amp;B Ops and CatMan) 10'!CG27,IF('Bid Tab (F&amp;B Ops and CatMan) 10'!CQ27=Reference!$A$8,'Bid Tab (F&amp;B Ops and CatMan) 10'!CM27,0))))))))))</f>
        <v>0</v>
      </c>
      <c r="Y27" s="200" t="b">
        <f>IFERROR(IF(Reference!$A$8=HLOOKUP(Reference!$A$8,'Bid Tab (F&amp;B Ops and CatMan) 10'!AJ27:CQ27,1,0),TRUE,FALSE),FALSE)</f>
        <v>0</v>
      </c>
      <c r="Z27" s="200">
        <f>MIN(IF(AO27=Reference!$A$10,100000000,AK27),IF(AU27=Reference!$A$10,100000000,AQ27),IF(BA27=Reference!$A$10,100000000,AW27),IF(BG27=Reference!$A$10,100000000,BC27),IF(BM27=Reference!$A$10,100000000,BI27),IF(BS27=Reference!$A$10,100000000,BO27),IF(BY27=Reference!$A$10,100000000,BU27),IF(CE27=Reference!$A$10,100000000,CA27),IF(CK27=Reference!$A$10,100000000,CG27),IF(CQ27=Reference!$A$10,100000000,CM27))</f>
        <v>0</v>
      </c>
      <c r="AA27" s="200">
        <f t="shared" si="37"/>
        <v>0</v>
      </c>
      <c r="AB27" s="200">
        <f ca="1">IF(Reference!A34&gt;0,Reference!A34,MAX(IF(TODAY()-H27&lt;365,IF(G27&gt;=N27,G27,P27),P27),G27))</f>
        <v>0</v>
      </c>
      <c r="AC27" s="200">
        <f t="shared" ca="1" si="6"/>
        <v>0</v>
      </c>
      <c r="AD27" s="200">
        <f t="shared" ca="1" si="7"/>
        <v>0</v>
      </c>
      <c r="AE27" s="200">
        <f t="shared" ca="1" si="8"/>
        <v>0</v>
      </c>
      <c r="AF27" s="202" t="str">
        <f t="shared" ca="1" si="38"/>
        <v xml:space="preserve"> </v>
      </c>
      <c r="AG27" s="203">
        <f t="shared" si="9"/>
        <v>0</v>
      </c>
      <c r="AH27" s="204">
        <f t="shared" si="10"/>
        <v>0</v>
      </c>
      <c r="AI27" s="205">
        <f t="shared" si="11"/>
        <v>0</v>
      </c>
      <c r="AJ27" s="209"/>
      <c r="AK27" s="137"/>
      <c r="AL27" s="206">
        <f t="shared" si="12"/>
        <v>0</v>
      </c>
      <c r="AM27" s="207">
        <f t="shared" si="13"/>
        <v>0</v>
      </c>
      <c r="AN27" s="123"/>
      <c r="AO27" s="208"/>
      <c r="AP27" s="209"/>
      <c r="AQ27" s="137"/>
      <c r="AR27" s="206">
        <f t="shared" si="14"/>
        <v>0</v>
      </c>
      <c r="AS27" s="207">
        <f t="shared" si="15"/>
        <v>0</v>
      </c>
      <c r="AT27" s="123"/>
      <c r="AU27" s="208"/>
      <c r="AV27" s="209"/>
      <c r="AW27" s="137"/>
      <c r="AX27" s="206">
        <f t="shared" si="16"/>
        <v>0</v>
      </c>
      <c r="AY27" s="207">
        <f t="shared" si="17"/>
        <v>0</v>
      </c>
      <c r="AZ27" s="123"/>
      <c r="BA27" s="208"/>
      <c r="BB27" s="209"/>
      <c r="BC27" s="137"/>
      <c r="BD27" s="206">
        <f t="shared" si="39"/>
        <v>0</v>
      </c>
      <c r="BE27" s="207">
        <f t="shared" si="18"/>
        <v>0</v>
      </c>
      <c r="BF27" s="123"/>
      <c r="BG27" s="208"/>
      <c r="BH27" s="209"/>
      <c r="BI27" s="137"/>
      <c r="BJ27" s="206">
        <f t="shared" si="19"/>
        <v>0</v>
      </c>
      <c r="BK27" s="207">
        <f t="shared" si="20"/>
        <v>0</v>
      </c>
      <c r="BL27" s="123"/>
      <c r="BM27" s="208"/>
      <c r="BN27" s="209"/>
      <c r="BO27" s="137"/>
      <c r="BP27" s="206">
        <f t="shared" si="21"/>
        <v>0</v>
      </c>
      <c r="BQ27" s="207">
        <f t="shared" si="22"/>
        <v>0</v>
      </c>
      <c r="BR27" s="123"/>
      <c r="BS27" s="208"/>
      <c r="BT27" s="209"/>
      <c r="BU27" s="137"/>
      <c r="BV27" s="206">
        <f t="shared" si="23"/>
        <v>0</v>
      </c>
      <c r="BW27" s="207">
        <f t="shared" si="24"/>
        <v>0</v>
      </c>
      <c r="BX27" s="123"/>
      <c r="BY27" s="208"/>
      <c r="BZ27" s="209"/>
      <c r="CA27" s="137"/>
      <c r="CB27" s="206">
        <f t="shared" ref="CB27:CB29" si="89">IFERROR(CA27*$D27,0)</f>
        <v>0</v>
      </c>
      <c r="CC27" s="207">
        <f t="shared" si="84"/>
        <v>0</v>
      </c>
      <c r="CD27" s="123"/>
      <c r="CE27" s="208"/>
      <c r="CF27" s="209"/>
      <c r="CG27" s="137"/>
      <c r="CH27" s="206">
        <f t="shared" ref="CH27:CH29" si="90">IFERROR(CG27*$D27,0)</f>
        <v>0</v>
      </c>
      <c r="CI27" s="207">
        <f t="shared" si="86"/>
        <v>0</v>
      </c>
      <c r="CJ27" s="123"/>
      <c r="CK27" s="208"/>
      <c r="CL27" s="209"/>
      <c r="CM27" s="137"/>
      <c r="CN27" s="206">
        <f t="shared" ref="CN27:CN29" si="91">IFERROR(CM27*$D27,0)</f>
        <v>0</v>
      </c>
      <c r="CO27" s="207">
        <f t="shared" si="88"/>
        <v>0</v>
      </c>
      <c r="CP27" s="123"/>
      <c r="CQ27" s="208"/>
    </row>
    <row r="28" spans="1:95" s="118" customFormat="1" ht="15" outlineLevel="1" x14ac:dyDescent="0.25">
      <c r="A28" s="119">
        <v>18</v>
      </c>
      <c r="B28" s="57"/>
      <c r="C28" s="120"/>
      <c r="D28" s="58"/>
      <c r="E28" s="124"/>
      <c r="F28" s="121"/>
      <c r="G28" s="60"/>
      <c r="H28" s="122"/>
      <c r="I28" s="200">
        <f t="shared" si="31"/>
        <v>0</v>
      </c>
      <c r="J28" s="60"/>
      <c r="K28" s="125"/>
      <c r="L28" s="233">
        <f t="shared" si="32"/>
        <v>0</v>
      </c>
      <c r="M28" s="232" t="str">
        <f t="shared" si="43"/>
        <v/>
      </c>
      <c r="N28" s="232">
        <f t="shared" si="33"/>
        <v>0</v>
      </c>
      <c r="O28" s="232">
        <f t="shared" si="34"/>
        <v>0</v>
      </c>
      <c r="P28" s="232">
        <f>MIN(IF($AO28=Reference!$A$10,100000000,AJ28),IF($AU28=Reference!$A$10,100000000,AP28),IF($BA28=Reference!$A$10,100000000,AV28),IF($BG28=Reference!$A$10,100000000,BB28),IF($BM28=Reference!$A$10,100000000,BH28),IF($BS28=Reference!$A$10,100000000,BN28),IF($BY28=Reference!$A$10,100000000,BT28),IF($CE28=Reference!$A$10,100000000,BZ28),IF($CK28=Reference!$A$10,100000000,CF28),IF($CQ28=Reference!$A$10,100000000,CL28))</f>
        <v>0</v>
      </c>
      <c r="Q28" s="200" t="b">
        <f t="shared" si="1"/>
        <v>0</v>
      </c>
      <c r="R28" s="251">
        <f t="shared" si="2"/>
        <v>0</v>
      </c>
      <c r="S28" s="200" t="b">
        <f t="shared" si="35"/>
        <v>1</v>
      </c>
      <c r="T28" s="200" t="str">
        <f t="shared" si="3"/>
        <v/>
      </c>
      <c r="U28" s="252" t="str">
        <f t="shared" si="4"/>
        <v/>
      </c>
      <c r="V28" s="200" t="b">
        <f t="shared" si="5"/>
        <v>1</v>
      </c>
      <c r="W28" s="200" t="str">
        <f t="shared" si="36"/>
        <v>VENDOR 1</v>
      </c>
      <c r="X28" s="200">
        <f>IF(AO28=Reference!$A$8,'Bid Tab (F&amp;B Ops and CatMan) 10'!AK28,IF('Bid Tab (F&amp;B Ops and CatMan) 10'!AU28=Reference!$A$8,'Bid Tab (F&amp;B Ops and CatMan) 10'!AQ28,IF('Bid Tab (F&amp;B Ops and CatMan) 10'!BA28=Reference!$A$8,'Bid Tab (F&amp;B Ops and CatMan) 10'!AW28,IF('Bid Tab (F&amp;B Ops and CatMan) 10'!BG28=Reference!$A$8,'Bid Tab (F&amp;B Ops and CatMan) 10'!BC28,IF('Bid Tab (F&amp;B Ops and CatMan) 10'!BM28=Reference!$A$8,'Bid Tab (F&amp;B Ops and CatMan) 10'!BI28,IF('Bid Tab (F&amp;B Ops and CatMan) 10'!BS28=Reference!$A$8,'Bid Tab (F&amp;B Ops and CatMan) 10'!BO28,IF('Bid Tab (F&amp;B Ops and CatMan) 10'!BY28=Reference!$A$8,'Bid Tab (F&amp;B Ops and CatMan) 10'!BU28,IF('Bid Tab (F&amp;B Ops and CatMan) 10'!CE28=Reference!$A$8,'Bid Tab (F&amp;B Ops and CatMan) 10'!CA28,IF('Bid Tab (F&amp;B Ops and CatMan) 10'!CK28=Reference!$A$8,'Bid Tab (F&amp;B Ops and CatMan) 10'!CG28,IF('Bid Tab (F&amp;B Ops and CatMan) 10'!CQ28=Reference!$A$8,'Bid Tab (F&amp;B Ops and CatMan) 10'!CM28,0))))))))))</f>
        <v>0</v>
      </c>
      <c r="Y28" s="200" t="b">
        <f>IFERROR(IF(Reference!$A$8=HLOOKUP(Reference!$A$8,'Bid Tab (F&amp;B Ops and CatMan) 10'!AJ28:CQ28,1,0),TRUE,FALSE),FALSE)</f>
        <v>0</v>
      </c>
      <c r="Z28" s="200">
        <f>MIN(IF(AO28=Reference!$A$10,100000000,AK28),IF(AU28=Reference!$A$10,100000000,AQ28),IF(BA28=Reference!$A$10,100000000,AW28),IF(BG28=Reference!$A$10,100000000,BC28),IF(BM28=Reference!$A$10,100000000,BI28),IF(BS28=Reference!$A$10,100000000,BO28),IF(BY28=Reference!$A$10,100000000,BU28),IF(CE28=Reference!$A$10,100000000,CA28),IF(CK28=Reference!$A$10,100000000,CG28),IF(CQ28=Reference!$A$10,100000000,CM28))</f>
        <v>0</v>
      </c>
      <c r="AA28" s="200">
        <f t="shared" si="37"/>
        <v>0</v>
      </c>
      <c r="AB28" s="200">
        <f ca="1">IF(Reference!A35&gt;0,Reference!A35,MAX(IF(TODAY()-H28&lt;365,IF(G28&gt;=N28,G28,P28),P28),G28))</f>
        <v>0</v>
      </c>
      <c r="AC28" s="200">
        <f t="shared" ca="1" si="6"/>
        <v>0</v>
      </c>
      <c r="AD28" s="200">
        <f t="shared" ca="1" si="7"/>
        <v>0</v>
      </c>
      <c r="AE28" s="200">
        <f t="shared" ca="1" si="8"/>
        <v>0</v>
      </c>
      <c r="AF28" s="202" t="str">
        <f t="shared" ca="1" si="38"/>
        <v xml:space="preserve"> </v>
      </c>
      <c r="AG28" s="203">
        <f t="shared" si="9"/>
        <v>0</v>
      </c>
      <c r="AH28" s="204">
        <f t="shared" si="10"/>
        <v>0</v>
      </c>
      <c r="AI28" s="205">
        <f t="shared" si="11"/>
        <v>0</v>
      </c>
      <c r="AJ28" s="209"/>
      <c r="AK28" s="137"/>
      <c r="AL28" s="206">
        <f t="shared" si="12"/>
        <v>0</v>
      </c>
      <c r="AM28" s="207">
        <f t="shared" si="13"/>
        <v>0</v>
      </c>
      <c r="AN28" s="123"/>
      <c r="AO28" s="208"/>
      <c r="AP28" s="209"/>
      <c r="AQ28" s="137"/>
      <c r="AR28" s="206">
        <f t="shared" si="14"/>
        <v>0</v>
      </c>
      <c r="AS28" s="207">
        <f t="shared" si="15"/>
        <v>0</v>
      </c>
      <c r="AT28" s="123"/>
      <c r="AU28" s="208"/>
      <c r="AV28" s="209"/>
      <c r="AW28" s="137"/>
      <c r="AX28" s="206">
        <f t="shared" si="16"/>
        <v>0</v>
      </c>
      <c r="AY28" s="207">
        <f t="shared" si="17"/>
        <v>0</v>
      </c>
      <c r="AZ28" s="123"/>
      <c r="BA28" s="208"/>
      <c r="BB28" s="209"/>
      <c r="BC28" s="137"/>
      <c r="BD28" s="206">
        <f t="shared" si="39"/>
        <v>0</v>
      </c>
      <c r="BE28" s="207">
        <f t="shared" si="18"/>
        <v>0</v>
      </c>
      <c r="BF28" s="123"/>
      <c r="BG28" s="208"/>
      <c r="BH28" s="209"/>
      <c r="BI28" s="137"/>
      <c r="BJ28" s="206">
        <f t="shared" si="19"/>
        <v>0</v>
      </c>
      <c r="BK28" s="207">
        <f t="shared" si="20"/>
        <v>0</v>
      </c>
      <c r="BL28" s="123"/>
      <c r="BM28" s="208"/>
      <c r="BN28" s="209"/>
      <c r="BO28" s="137"/>
      <c r="BP28" s="206">
        <f t="shared" si="21"/>
        <v>0</v>
      </c>
      <c r="BQ28" s="207">
        <f t="shared" si="22"/>
        <v>0</v>
      </c>
      <c r="BR28" s="123"/>
      <c r="BS28" s="208"/>
      <c r="BT28" s="209"/>
      <c r="BU28" s="137"/>
      <c r="BV28" s="206">
        <f t="shared" si="23"/>
        <v>0</v>
      </c>
      <c r="BW28" s="207">
        <f t="shared" si="24"/>
        <v>0</v>
      </c>
      <c r="BX28" s="123"/>
      <c r="BY28" s="208"/>
      <c r="BZ28" s="209"/>
      <c r="CA28" s="137"/>
      <c r="CB28" s="206">
        <f t="shared" si="83"/>
        <v>0</v>
      </c>
      <c r="CC28" s="207">
        <f t="shared" si="26"/>
        <v>0</v>
      </c>
      <c r="CD28" s="123"/>
      <c r="CE28" s="208"/>
      <c r="CF28" s="209"/>
      <c r="CG28" s="137"/>
      <c r="CH28" s="206">
        <f t="shared" si="85"/>
        <v>0</v>
      </c>
      <c r="CI28" s="207">
        <f t="shared" si="28"/>
        <v>0</v>
      </c>
      <c r="CJ28" s="123"/>
      <c r="CK28" s="208"/>
      <c r="CL28" s="209"/>
      <c r="CM28" s="137"/>
      <c r="CN28" s="206">
        <f t="shared" si="87"/>
        <v>0</v>
      </c>
      <c r="CO28" s="207">
        <f t="shared" si="30"/>
        <v>0</v>
      </c>
      <c r="CP28" s="123"/>
      <c r="CQ28" s="208"/>
    </row>
    <row r="29" spans="1:95" s="118" customFormat="1" ht="15" outlineLevel="1" x14ac:dyDescent="0.25">
      <c r="A29" s="119">
        <v>19</v>
      </c>
      <c r="B29" s="57"/>
      <c r="C29" s="120"/>
      <c r="D29" s="58"/>
      <c r="E29" s="124"/>
      <c r="F29" s="121"/>
      <c r="G29" s="60"/>
      <c r="H29" s="122"/>
      <c r="I29" s="200">
        <f t="shared" si="31"/>
        <v>0</v>
      </c>
      <c r="J29" s="60"/>
      <c r="K29" s="125"/>
      <c r="L29" s="233">
        <f t="shared" si="32"/>
        <v>0</v>
      </c>
      <c r="M29" s="232" t="str">
        <f t="shared" si="43"/>
        <v/>
      </c>
      <c r="N29" s="232">
        <f t="shared" si="33"/>
        <v>0</v>
      </c>
      <c r="O29" s="232">
        <f t="shared" si="34"/>
        <v>0</v>
      </c>
      <c r="P29" s="232">
        <f>MIN(IF($AO29=Reference!$A$10,100000000,AJ29),IF($AU29=Reference!$A$10,100000000,AP29),IF($BA29=Reference!$A$10,100000000,AV29),IF($BG29=Reference!$A$10,100000000,BB29),IF($BM29=Reference!$A$10,100000000,BH29),IF($BS29=Reference!$A$10,100000000,BN29),IF($BY29=Reference!$A$10,100000000,BT29),IF($CE29=Reference!$A$10,100000000,BZ29),IF($CK29=Reference!$A$10,100000000,CF29),IF($CQ29=Reference!$A$10,100000000,CL29))</f>
        <v>0</v>
      </c>
      <c r="Q29" s="200" t="b">
        <f t="shared" si="1"/>
        <v>0</v>
      </c>
      <c r="R29" s="251">
        <f t="shared" si="2"/>
        <v>0</v>
      </c>
      <c r="S29" s="200" t="b">
        <f t="shared" si="35"/>
        <v>1</v>
      </c>
      <c r="T29" s="200" t="str">
        <f t="shared" si="3"/>
        <v/>
      </c>
      <c r="U29" s="252" t="str">
        <f t="shared" si="4"/>
        <v/>
      </c>
      <c r="V29" s="200" t="b">
        <f t="shared" si="5"/>
        <v>1</v>
      </c>
      <c r="W29" s="200" t="str">
        <f t="shared" si="36"/>
        <v>VENDOR 1</v>
      </c>
      <c r="X29" s="200">
        <f>IF(AO29=Reference!$A$8,'Bid Tab (F&amp;B Ops and CatMan) 10'!AK29,IF('Bid Tab (F&amp;B Ops and CatMan) 10'!AU29=Reference!$A$8,'Bid Tab (F&amp;B Ops and CatMan) 10'!AQ29,IF('Bid Tab (F&amp;B Ops and CatMan) 10'!BA29=Reference!$A$8,'Bid Tab (F&amp;B Ops and CatMan) 10'!AW29,IF('Bid Tab (F&amp;B Ops and CatMan) 10'!BG29=Reference!$A$8,'Bid Tab (F&amp;B Ops and CatMan) 10'!BC29,IF('Bid Tab (F&amp;B Ops and CatMan) 10'!BM29=Reference!$A$8,'Bid Tab (F&amp;B Ops and CatMan) 10'!BI29,IF('Bid Tab (F&amp;B Ops and CatMan) 10'!BS29=Reference!$A$8,'Bid Tab (F&amp;B Ops and CatMan) 10'!BO29,IF('Bid Tab (F&amp;B Ops and CatMan) 10'!BY29=Reference!$A$8,'Bid Tab (F&amp;B Ops and CatMan) 10'!BU29,IF('Bid Tab (F&amp;B Ops and CatMan) 10'!CE29=Reference!$A$8,'Bid Tab (F&amp;B Ops and CatMan) 10'!CA29,IF('Bid Tab (F&amp;B Ops and CatMan) 10'!CK29=Reference!$A$8,'Bid Tab (F&amp;B Ops and CatMan) 10'!CG29,IF('Bid Tab (F&amp;B Ops and CatMan) 10'!CQ29=Reference!$A$8,'Bid Tab (F&amp;B Ops and CatMan) 10'!CM29,0))))))))))</f>
        <v>0</v>
      </c>
      <c r="Y29" s="200" t="b">
        <f>IFERROR(IF(Reference!$A$8=HLOOKUP(Reference!$A$8,'Bid Tab (F&amp;B Ops and CatMan) 10'!AJ29:CQ29,1,0),TRUE,FALSE),FALSE)</f>
        <v>0</v>
      </c>
      <c r="Z29" s="200">
        <f>MIN(IF(AO29=Reference!$A$10,100000000,AK29),IF(AU29=Reference!$A$10,100000000,AQ29),IF(BA29=Reference!$A$10,100000000,AW29),IF(BG29=Reference!$A$10,100000000,BC29),IF(BM29=Reference!$A$10,100000000,BI29),IF(BS29=Reference!$A$10,100000000,BO29),IF(BY29=Reference!$A$10,100000000,BU29),IF(CE29=Reference!$A$10,100000000,CA29),IF(CK29=Reference!$A$10,100000000,CG29),IF(CQ29=Reference!$A$10,100000000,CM29))</f>
        <v>0</v>
      </c>
      <c r="AA29" s="200">
        <f t="shared" si="37"/>
        <v>0</v>
      </c>
      <c r="AB29" s="200">
        <f ca="1">IF(Reference!A36&gt;0,Reference!A36,MAX(IF(TODAY()-H29&lt;365,IF(G29&gt;=N29,G29,P29),P29),G29))</f>
        <v>0</v>
      </c>
      <c r="AC29" s="200">
        <f t="shared" ca="1" si="6"/>
        <v>0</v>
      </c>
      <c r="AD29" s="200">
        <f t="shared" ca="1" si="7"/>
        <v>0</v>
      </c>
      <c r="AE29" s="200">
        <f t="shared" ca="1" si="8"/>
        <v>0</v>
      </c>
      <c r="AF29" s="202" t="str">
        <f t="shared" ca="1" si="38"/>
        <v xml:space="preserve"> </v>
      </c>
      <c r="AG29" s="203">
        <f t="shared" si="9"/>
        <v>0</v>
      </c>
      <c r="AH29" s="204">
        <f t="shared" si="10"/>
        <v>0</v>
      </c>
      <c r="AI29" s="205">
        <f t="shared" si="11"/>
        <v>0</v>
      </c>
      <c r="AJ29" s="209"/>
      <c r="AK29" s="137"/>
      <c r="AL29" s="206">
        <f t="shared" si="12"/>
        <v>0</v>
      </c>
      <c r="AM29" s="207">
        <f t="shared" si="13"/>
        <v>0</v>
      </c>
      <c r="AN29" s="123"/>
      <c r="AO29" s="208"/>
      <c r="AP29" s="209"/>
      <c r="AQ29" s="137"/>
      <c r="AR29" s="206">
        <f t="shared" si="14"/>
        <v>0</v>
      </c>
      <c r="AS29" s="207">
        <f t="shared" si="15"/>
        <v>0</v>
      </c>
      <c r="AT29" s="123"/>
      <c r="AU29" s="208"/>
      <c r="AV29" s="209"/>
      <c r="AW29" s="137"/>
      <c r="AX29" s="206">
        <f t="shared" si="16"/>
        <v>0</v>
      </c>
      <c r="AY29" s="207">
        <f t="shared" si="17"/>
        <v>0</v>
      </c>
      <c r="AZ29" s="123"/>
      <c r="BA29" s="208"/>
      <c r="BB29" s="209"/>
      <c r="BC29" s="137"/>
      <c r="BD29" s="206">
        <f t="shared" si="39"/>
        <v>0</v>
      </c>
      <c r="BE29" s="207">
        <f t="shared" si="18"/>
        <v>0</v>
      </c>
      <c r="BF29" s="123"/>
      <c r="BG29" s="208"/>
      <c r="BH29" s="209"/>
      <c r="BI29" s="137"/>
      <c r="BJ29" s="206">
        <f t="shared" si="19"/>
        <v>0</v>
      </c>
      <c r="BK29" s="207">
        <f t="shared" si="20"/>
        <v>0</v>
      </c>
      <c r="BL29" s="123"/>
      <c r="BM29" s="208"/>
      <c r="BN29" s="209"/>
      <c r="BO29" s="137"/>
      <c r="BP29" s="206">
        <f t="shared" si="21"/>
        <v>0</v>
      </c>
      <c r="BQ29" s="207">
        <f t="shared" si="22"/>
        <v>0</v>
      </c>
      <c r="BR29" s="123"/>
      <c r="BS29" s="208"/>
      <c r="BT29" s="209"/>
      <c r="BU29" s="137"/>
      <c r="BV29" s="206">
        <f t="shared" si="23"/>
        <v>0</v>
      </c>
      <c r="BW29" s="207">
        <f t="shared" si="24"/>
        <v>0</v>
      </c>
      <c r="BX29" s="123"/>
      <c r="BY29" s="208"/>
      <c r="BZ29" s="209"/>
      <c r="CA29" s="137"/>
      <c r="CB29" s="206">
        <f t="shared" si="89"/>
        <v>0</v>
      </c>
      <c r="CC29" s="207">
        <f t="shared" si="26"/>
        <v>0</v>
      </c>
      <c r="CD29" s="123"/>
      <c r="CE29" s="208"/>
      <c r="CF29" s="209"/>
      <c r="CG29" s="137"/>
      <c r="CH29" s="206">
        <f t="shared" si="90"/>
        <v>0</v>
      </c>
      <c r="CI29" s="207">
        <f t="shared" si="28"/>
        <v>0</v>
      </c>
      <c r="CJ29" s="123"/>
      <c r="CK29" s="208"/>
      <c r="CL29" s="209"/>
      <c r="CM29" s="137"/>
      <c r="CN29" s="206">
        <f t="shared" si="91"/>
        <v>0</v>
      </c>
      <c r="CO29" s="207">
        <f t="shared" si="30"/>
        <v>0</v>
      </c>
      <c r="CP29" s="123"/>
      <c r="CQ29" s="208"/>
    </row>
    <row r="30" spans="1:95" s="118" customFormat="1" ht="15" outlineLevel="1" x14ac:dyDescent="0.25">
      <c r="A30" s="119">
        <v>20</v>
      </c>
      <c r="B30" s="57"/>
      <c r="C30" s="120"/>
      <c r="D30" s="58"/>
      <c r="E30" s="124"/>
      <c r="F30" s="121"/>
      <c r="G30" s="60"/>
      <c r="H30" s="122"/>
      <c r="I30" s="200">
        <f t="shared" si="31"/>
        <v>0</v>
      </c>
      <c r="J30" s="60"/>
      <c r="K30" s="125"/>
      <c r="L30" s="233">
        <f t="shared" si="32"/>
        <v>0</v>
      </c>
      <c r="M30" s="232" t="str">
        <f t="shared" si="43"/>
        <v/>
      </c>
      <c r="N30" s="232">
        <f t="shared" si="33"/>
        <v>0</v>
      </c>
      <c r="O30" s="232">
        <f t="shared" si="34"/>
        <v>0</v>
      </c>
      <c r="P30" s="232">
        <f>MIN(IF($AO30=Reference!$A$10,100000000,AJ30),IF($AU30=Reference!$A$10,100000000,AP30),IF($BA30=Reference!$A$10,100000000,AV30),IF($BG30=Reference!$A$10,100000000,BB30),IF($BM30=Reference!$A$10,100000000,BH30),IF($BS30=Reference!$A$10,100000000,BN30),IF($BY30=Reference!$A$10,100000000,BT30),IF($CE30=Reference!$A$10,100000000,BZ30),IF($CK30=Reference!$A$10,100000000,CF30),IF($CQ30=Reference!$A$10,100000000,CL30))</f>
        <v>0</v>
      </c>
      <c r="Q30" s="200" t="b">
        <f t="shared" si="1"/>
        <v>0</v>
      </c>
      <c r="R30" s="251">
        <f t="shared" si="2"/>
        <v>0</v>
      </c>
      <c r="S30" s="200" t="b">
        <f t="shared" si="35"/>
        <v>1</v>
      </c>
      <c r="T30" s="200" t="str">
        <f t="shared" si="3"/>
        <v/>
      </c>
      <c r="U30" s="252" t="str">
        <f t="shared" si="4"/>
        <v/>
      </c>
      <c r="V30" s="200" t="b">
        <f t="shared" si="5"/>
        <v>1</v>
      </c>
      <c r="W30" s="200" t="str">
        <f t="shared" si="36"/>
        <v>VENDOR 1</v>
      </c>
      <c r="X30" s="200">
        <f>IF(AO30=Reference!$A$8,'Bid Tab (F&amp;B Ops and CatMan) 10'!AK30,IF('Bid Tab (F&amp;B Ops and CatMan) 10'!AU30=Reference!$A$8,'Bid Tab (F&amp;B Ops and CatMan) 10'!AQ30,IF('Bid Tab (F&amp;B Ops and CatMan) 10'!BA30=Reference!$A$8,'Bid Tab (F&amp;B Ops and CatMan) 10'!AW30,IF('Bid Tab (F&amp;B Ops and CatMan) 10'!BG30=Reference!$A$8,'Bid Tab (F&amp;B Ops and CatMan) 10'!BC30,IF('Bid Tab (F&amp;B Ops and CatMan) 10'!BM30=Reference!$A$8,'Bid Tab (F&amp;B Ops and CatMan) 10'!BI30,IF('Bid Tab (F&amp;B Ops and CatMan) 10'!BS30=Reference!$A$8,'Bid Tab (F&amp;B Ops and CatMan) 10'!BO30,IF('Bid Tab (F&amp;B Ops and CatMan) 10'!BY30=Reference!$A$8,'Bid Tab (F&amp;B Ops and CatMan) 10'!BU30,IF('Bid Tab (F&amp;B Ops and CatMan) 10'!CE30=Reference!$A$8,'Bid Tab (F&amp;B Ops and CatMan) 10'!CA30,IF('Bid Tab (F&amp;B Ops and CatMan) 10'!CK30=Reference!$A$8,'Bid Tab (F&amp;B Ops and CatMan) 10'!CG30,IF('Bid Tab (F&amp;B Ops and CatMan) 10'!CQ30=Reference!$A$8,'Bid Tab (F&amp;B Ops and CatMan) 10'!CM30,0))))))))))</f>
        <v>0</v>
      </c>
      <c r="Y30" s="200" t="b">
        <f>IFERROR(IF(Reference!$A$8=HLOOKUP(Reference!$A$8,'Bid Tab (F&amp;B Ops and CatMan) 10'!AJ30:CQ30,1,0),TRUE,FALSE),FALSE)</f>
        <v>0</v>
      </c>
      <c r="Z30" s="200">
        <f>MIN(IF(AO30=Reference!$A$10,100000000,AK30),IF(AU30=Reference!$A$10,100000000,AQ30),IF(BA30=Reference!$A$10,100000000,AW30),IF(BG30=Reference!$A$10,100000000,BC30),IF(BM30=Reference!$A$10,100000000,BI30),IF(BS30=Reference!$A$10,100000000,BO30),IF(BY30=Reference!$A$10,100000000,BU30),IF(CE30=Reference!$A$10,100000000,CA30),IF(CK30=Reference!$A$10,100000000,CG30),IF(CQ30=Reference!$A$10,100000000,CM30))</f>
        <v>0</v>
      </c>
      <c r="AA30" s="200">
        <f t="shared" si="37"/>
        <v>0</v>
      </c>
      <c r="AB30" s="200">
        <f ca="1">IF(Reference!A37&gt;0,Reference!A37,MAX(IF(TODAY()-H30&lt;365,IF(G30&gt;=N30,G30,P30),P30),G30))</f>
        <v>0</v>
      </c>
      <c r="AC30" s="200">
        <f t="shared" ca="1" si="6"/>
        <v>0</v>
      </c>
      <c r="AD30" s="200">
        <f t="shared" ca="1" si="7"/>
        <v>0</v>
      </c>
      <c r="AE30" s="200">
        <f t="shared" ca="1" si="8"/>
        <v>0</v>
      </c>
      <c r="AF30" s="202" t="str">
        <f t="shared" ca="1" si="38"/>
        <v xml:space="preserve"> </v>
      </c>
      <c r="AG30" s="203">
        <f t="shared" si="9"/>
        <v>0</v>
      </c>
      <c r="AH30" s="204">
        <f t="shared" si="10"/>
        <v>0</v>
      </c>
      <c r="AI30" s="205">
        <f t="shared" si="11"/>
        <v>0</v>
      </c>
      <c r="AJ30" s="209"/>
      <c r="AK30" s="137"/>
      <c r="AL30" s="206">
        <f t="shared" si="12"/>
        <v>0</v>
      </c>
      <c r="AM30" s="207">
        <f t="shared" si="13"/>
        <v>0</v>
      </c>
      <c r="AN30" s="123"/>
      <c r="AO30" s="208"/>
      <c r="AP30" s="209"/>
      <c r="AQ30" s="137"/>
      <c r="AR30" s="206">
        <f t="shared" si="14"/>
        <v>0</v>
      </c>
      <c r="AS30" s="207">
        <f t="shared" si="15"/>
        <v>0</v>
      </c>
      <c r="AT30" s="123"/>
      <c r="AU30" s="208"/>
      <c r="AV30" s="209"/>
      <c r="AW30" s="137"/>
      <c r="AX30" s="206">
        <f t="shared" si="16"/>
        <v>0</v>
      </c>
      <c r="AY30" s="207">
        <f t="shared" si="17"/>
        <v>0</v>
      </c>
      <c r="AZ30" s="123"/>
      <c r="BA30" s="208"/>
      <c r="BB30" s="209"/>
      <c r="BC30" s="137"/>
      <c r="BD30" s="206">
        <f t="shared" si="39"/>
        <v>0</v>
      </c>
      <c r="BE30" s="207">
        <f t="shared" si="18"/>
        <v>0</v>
      </c>
      <c r="BF30" s="123"/>
      <c r="BG30" s="208"/>
      <c r="BH30" s="209"/>
      <c r="BI30" s="137"/>
      <c r="BJ30" s="206">
        <f t="shared" si="19"/>
        <v>0</v>
      </c>
      <c r="BK30" s="207">
        <f t="shared" si="20"/>
        <v>0</v>
      </c>
      <c r="BL30" s="123"/>
      <c r="BM30" s="208"/>
      <c r="BN30" s="209"/>
      <c r="BO30" s="137"/>
      <c r="BP30" s="206">
        <f t="shared" si="21"/>
        <v>0</v>
      </c>
      <c r="BQ30" s="207">
        <f t="shared" si="22"/>
        <v>0</v>
      </c>
      <c r="BR30" s="123"/>
      <c r="BS30" s="208"/>
      <c r="BT30" s="209"/>
      <c r="BU30" s="137"/>
      <c r="BV30" s="206">
        <f t="shared" si="23"/>
        <v>0</v>
      </c>
      <c r="BW30" s="207">
        <f t="shared" si="24"/>
        <v>0</v>
      </c>
      <c r="BX30" s="123"/>
      <c r="BY30" s="208"/>
      <c r="BZ30" s="209"/>
      <c r="CA30" s="137"/>
      <c r="CB30" s="206">
        <f t="shared" ref="CB30" si="92">IFERROR(CA30*$D30,0)</f>
        <v>0</v>
      </c>
      <c r="CC30" s="207">
        <f t="shared" si="26"/>
        <v>0</v>
      </c>
      <c r="CD30" s="123"/>
      <c r="CE30" s="208"/>
      <c r="CF30" s="209"/>
      <c r="CG30" s="137"/>
      <c r="CH30" s="206">
        <f t="shared" ref="CH30" si="93">IFERROR(CG30*$D30,0)</f>
        <v>0</v>
      </c>
      <c r="CI30" s="207">
        <f t="shared" si="28"/>
        <v>0</v>
      </c>
      <c r="CJ30" s="123"/>
      <c r="CK30" s="208"/>
      <c r="CL30" s="209"/>
      <c r="CM30" s="137"/>
      <c r="CN30" s="206">
        <f t="shared" ref="CN30" si="94">IFERROR(CM30*$D30,0)</f>
        <v>0</v>
      </c>
      <c r="CO30" s="207">
        <f t="shared" si="30"/>
        <v>0</v>
      </c>
      <c r="CP30" s="123"/>
      <c r="CQ30" s="208"/>
    </row>
    <row r="31" spans="1:95" x14ac:dyDescent="0.25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  <c r="BC31" s="41"/>
      <c r="BD31" s="41"/>
      <c r="BE31" s="41"/>
      <c r="BF31" s="41"/>
      <c r="BG31" s="41"/>
      <c r="BH31" s="41"/>
      <c r="BI31" s="41"/>
      <c r="BJ31" s="41"/>
      <c r="BK31" s="41"/>
      <c r="BL31" s="41"/>
      <c r="BM31" s="41"/>
      <c r="BN31" s="41"/>
      <c r="BO31" s="41"/>
      <c r="BP31" s="41"/>
      <c r="BQ31" s="41"/>
      <c r="BR31" s="41"/>
      <c r="BS31" s="41"/>
      <c r="BT31" s="41"/>
      <c r="BU31" s="41"/>
      <c r="BV31" s="41"/>
      <c r="BW31" s="41"/>
      <c r="BX31" s="41"/>
      <c r="BY31" s="41"/>
      <c r="BZ31" s="41"/>
      <c r="CA31" s="41"/>
      <c r="CB31" s="41"/>
      <c r="CC31" s="41"/>
      <c r="CD31" s="41"/>
      <c r="CE31" s="41"/>
      <c r="CF31" s="41"/>
      <c r="CG31" s="41"/>
      <c r="CH31" s="41"/>
      <c r="CI31" s="41"/>
      <c r="CJ31" s="41"/>
      <c r="CK31" s="41"/>
      <c r="CL31" s="41"/>
      <c r="CM31" s="41"/>
      <c r="CN31" s="41"/>
      <c r="CO31" s="41"/>
      <c r="CP31" s="41"/>
      <c r="CQ31" s="41"/>
    </row>
    <row r="32" spans="1:95" s="20" customFormat="1" ht="34.5" customHeight="1" x14ac:dyDescent="0.25">
      <c r="A32" s="48">
        <f>SUBTOTAL(3,A11:A31)</f>
        <v>20</v>
      </c>
      <c r="B32" s="48">
        <f>SUBTOTAL(3,B11:B31)</f>
        <v>0</v>
      </c>
      <c r="C32" s="94" t="s">
        <v>52</v>
      </c>
      <c r="D32" s="49">
        <f>SUBTOTAL(9,D11:D31)</f>
        <v>0</v>
      </c>
      <c r="E32" s="36"/>
      <c r="F32" s="92"/>
      <c r="G32" s="92"/>
      <c r="H32" s="92"/>
      <c r="I32" s="53">
        <f>SUBTOTAL(9,I11:I31)</f>
        <v>0</v>
      </c>
      <c r="J32" s="92"/>
      <c r="K32" s="92"/>
      <c r="L32" s="92"/>
      <c r="M32" s="92"/>
      <c r="N32" s="92"/>
      <c r="O32" s="53">
        <f>ROUNDUP(SUBTOTAL(9,O11:O31),2)</f>
        <v>0</v>
      </c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53">
        <f>ROUNDUP(SUBTOTAL(9,AA11:AA31),2)</f>
        <v>0</v>
      </c>
      <c r="AB32" s="92"/>
      <c r="AC32" s="53">
        <f ca="1">SUBTOTAL(9,AC11:AC31)</f>
        <v>0</v>
      </c>
      <c r="AD32" s="92"/>
      <c r="AE32" s="53">
        <f ca="1">SUBTOTAL(9,AE11:AE31)</f>
        <v>0</v>
      </c>
      <c r="AF32" s="92"/>
      <c r="AG32" s="53"/>
      <c r="AH32" s="53">
        <f>SUBTOTAL(9,AH11:AH31)</f>
        <v>0</v>
      </c>
      <c r="AI32" s="61">
        <f>IFERROR(AH32/I32,0)</f>
        <v>0</v>
      </c>
      <c r="AJ32" s="294">
        <f>SUM(AL11:AL30)</f>
        <v>0</v>
      </c>
      <c r="AK32" s="295"/>
      <c r="AL32" s="295"/>
      <c r="AM32" s="295"/>
      <c r="AN32" s="295"/>
      <c r="AO32" s="296"/>
      <c r="AP32" s="294">
        <f>SUM(AR11:AR30)</f>
        <v>0</v>
      </c>
      <c r="AQ32" s="295"/>
      <c r="AR32" s="295"/>
      <c r="AS32" s="295"/>
      <c r="AT32" s="295"/>
      <c r="AU32" s="296"/>
      <c r="AV32" s="294">
        <f>SUM(AX11:AX30)</f>
        <v>0</v>
      </c>
      <c r="AW32" s="295"/>
      <c r="AX32" s="295"/>
      <c r="AY32" s="295"/>
      <c r="AZ32" s="295"/>
      <c r="BA32" s="296"/>
      <c r="BB32" s="294">
        <f>SUM(BD11:BD30)</f>
        <v>0</v>
      </c>
      <c r="BC32" s="295"/>
      <c r="BD32" s="295"/>
      <c r="BE32" s="295"/>
      <c r="BF32" s="295"/>
      <c r="BG32" s="296"/>
      <c r="BH32" s="294">
        <f>SUM(BJ11:BJ30)</f>
        <v>0</v>
      </c>
      <c r="BI32" s="295"/>
      <c r="BJ32" s="295"/>
      <c r="BK32" s="295"/>
      <c r="BL32" s="295"/>
      <c r="BM32" s="296"/>
      <c r="BN32" s="294">
        <f>SUM(BP11:BP30)</f>
        <v>0</v>
      </c>
      <c r="BO32" s="295"/>
      <c r="BP32" s="295"/>
      <c r="BQ32" s="295"/>
      <c r="BR32" s="295"/>
      <c r="BS32" s="296"/>
      <c r="BT32" s="294">
        <f>SUM(BV11:BV30)</f>
        <v>0</v>
      </c>
      <c r="BU32" s="295"/>
      <c r="BV32" s="295"/>
      <c r="BW32" s="295"/>
      <c r="BX32" s="295"/>
      <c r="BY32" s="296"/>
      <c r="BZ32" s="294">
        <f>SUM(CB11:CB30)</f>
        <v>0</v>
      </c>
      <c r="CA32" s="295"/>
      <c r="CB32" s="295"/>
      <c r="CC32" s="295"/>
      <c r="CD32" s="295"/>
      <c r="CE32" s="296"/>
      <c r="CF32" s="294">
        <f>SUM(CH11:CH30)</f>
        <v>0</v>
      </c>
      <c r="CG32" s="295"/>
      <c r="CH32" s="295"/>
      <c r="CI32" s="295"/>
      <c r="CJ32" s="295"/>
      <c r="CK32" s="296"/>
      <c r="CL32" s="294">
        <f>SUM(CN11:CN30)</f>
        <v>0</v>
      </c>
      <c r="CM32" s="295"/>
      <c r="CN32" s="295"/>
      <c r="CO32" s="295"/>
      <c r="CP32" s="295"/>
      <c r="CQ32" s="296"/>
    </row>
    <row r="33" spans="1:95" ht="15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80" t="b">
        <f>O32=AA32</f>
        <v>1</v>
      </c>
      <c r="AB33" s="17"/>
      <c r="AC33" s="17"/>
      <c r="AE33" s="81">
        <f ca="1">IFERROR(AE32/AC32,0)</f>
        <v>0</v>
      </c>
      <c r="AF33" s="21"/>
      <c r="AG33" s="17"/>
      <c r="AH33" s="17"/>
      <c r="AI33" s="17"/>
      <c r="AP33" s="17"/>
      <c r="AV33" s="19"/>
      <c r="BB33" s="19"/>
      <c r="BH33" s="19"/>
    </row>
    <row r="34" spans="1:95" ht="15" customHeight="1" x14ac:dyDescent="0.25"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91" t="s">
        <v>53</v>
      </c>
      <c r="AJ34" s="210">
        <v>1</v>
      </c>
      <c r="AK34" s="140"/>
      <c r="AL34" s="211" t="s">
        <v>923</v>
      </c>
      <c r="AM34" s="212"/>
      <c r="AN34" s="213"/>
      <c r="AO34" s="214"/>
      <c r="AP34" s="23"/>
      <c r="AQ34" s="140"/>
      <c r="AR34" s="22"/>
      <c r="AS34" s="300"/>
      <c r="AT34" s="300"/>
      <c r="AU34" s="300"/>
      <c r="AV34" s="23"/>
      <c r="AW34" s="140"/>
      <c r="AX34" s="22"/>
      <c r="AY34" s="300"/>
      <c r="AZ34" s="300"/>
      <c r="BA34" s="300"/>
      <c r="BB34" s="23"/>
      <c r="BC34" s="142"/>
      <c r="BD34" s="22"/>
      <c r="BE34" s="300"/>
      <c r="BF34" s="300"/>
      <c r="BG34" s="300"/>
      <c r="BH34" s="23"/>
      <c r="BI34" s="140"/>
      <c r="BJ34" s="22"/>
      <c r="BK34" s="300"/>
      <c r="BL34" s="300"/>
      <c r="BM34" s="300"/>
      <c r="BN34" s="23"/>
      <c r="BO34" s="142"/>
      <c r="BP34" s="22"/>
      <c r="BQ34" s="300"/>
      <c r="BR34" s="300"/>
      <c r="BS34" s="300"/>
      <c r="BT34" s="23"/>
      <c r="BU34" s="153"/>
      <c r="BV34" s="22"/>
      <c r="BW34" s="300"/>
      <c r="BX34" s="300"/>
      <c r="BY34" s="300"/>
      <c r="BZ34" s="23"/>
      <c r="CA34" s="153"/>
      <c r="CB34" s="22"/>
      <c r="CC34" s="300"/>
      <c r="CD34" s="300"/>
      <c r="CE34" s="300"/>
      <c r="CF34" s="23"/>
      <c r="CG34" s="153"/>
      <c r="CH34" s="22"/>
      <c r="CI34" s="300"/>
      <c r="CJ34" s="300"/>
      <c r="CK34" s="300"/>
      <c r="CL34" s="23"/>
      <c r="CM34" s="153"/>
      <c r="CN34" s="22"/>
      <c r="CO34" s="300"/>
      <c r="CP34" s="300"/>
      <c r="CQ34" s="300"/>
    </row>
    <row r="35" spans="1:95" ht="15" customHeight="1" x14ac:dyDescent="0.25">
      <c r="B35" s="16"/>
      <c r="C35" s="17"/>
      <c r="D35" s="17"/>
      <c r="E35" s="17"/>
      <c r="F35" s="17"/>
      <c r="G35" s="17"/>
      <c r="H35" s="17"/>
      <c r="I35" s="17"/>
      <c r="J35" s="17"/>
      <c r="K35" s="17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91" t="s">
        <v>54</v>
      </c>
      <c r="AJ35" s="334"/>
      <c r="AK35" s="309"/>
      <c r="AL35" s="309"/>
      <c r="AM35" s="309"/>
      <c r="AN35" s="309"/>
      <c r="AO35" s="310"/>
      <c r="AP35" s="309"/>
      <c r="AQ35" s="309"/>
      <c r="AR35" s="309"/>
      <c r="AS35" s="309"/>
      <c r="AT35" s="309"/>
      <c r="AU35" s="310"/>
      <c r="AV35" s="309"/>
      <c r="AW35" s="309"/>
      <c r="AX35" s="309"/>
      <c r="AY35" s="309"/>
      <c r="AZ35" s="309"/>
      <c r="BA35" s="310"/>
      <c r="BB35" s="309"/>
      <c r="BC35" s="309"/>
      <c r="BD35" s="309"/>
      <c r="BE35" s="309"/>
      <c r="BF35" s="309"/>
      <c r="BG35" s="310"/>
      <c r="BH35" s="309"/>
      <c r="BI35" s="309"/>
      <c r="BJ35" s="309"/>
      <c r="BK35" s="309"/>
      <c r="BL35" s="309"/>
      <c r="BM35" s="310"/>
      <c r="BN35" s="309"/>
      <c r="BO35" s="309"/>
      <c r="BP35" s="309"/>
      <c r="BQ35" s="309"/>
      <c r="BR35" s="309"/>
      <c r="BS35" s="310"/>
      <c r="BT35" s="309"/>
      <c r="BU35" s="309"/>
      <c r="BV35" s="309"/>
      <c r="BW35" s="309"/>
      <c r="BX35" s="309"/>
      <c r="BY35" s="310"/>
      <c r="BZ35" s="309"/>
      <c r="CA35" s="309"/>
      <c r="CB35" s="309"/>
      <c r="CC35" s="309"/>
      <c r="CD35" s="309"/>
      <c r="CE35" s="310"/>
      <c r="CF35" s="309"/>
      <c r="CG35" s="309"/>
      <c r="CH35" s="309"/>
      <c r="CI35" s="309"/>
      <c r="CJ35" s="309"/>
      <c r="CK35" s="310"/>
      <c r="CL35" s="309"/>
      <c r="CM35" s="309"/>
      <c r="CN35" s="309"/>
      <c r="CO35" s="309"/>
      <c r="CP35" s="309"/>
      <c r="CQ35" s="310"/>
    </row>
    <row r="36" spans="1:95" ht="63" customHeight="1" x14ac:dyDescent="0.25">
      <c r="A36" s="15"/>
      <c r="B36" s="35" t="s">
        <v>55</v>
      </c>
      <c r="C36" s="94" t="str">
        <f>C32</f>
        <v>GRAND TOTAL 
(EXCLUSIVE OF VAT)</v>
      </c>
      <c r="D36" s="35" t="s">
        <v>99</v>
      </c>
      <c r="E36" s="36" t="s">
        <v>57</v>
      </c>
      <c r="F36" s="35" t="s">
        <v>58</v>
      </c>
      <c r="G36" s="145" t="s">
        <v>59</v>
      </c>
      <c r="H36" s="145" t="s">
        <v>112</v>
      </c>
      <c r="I36" s="145" t="s">
        <v>675</v>
      </c>
      <c r="J36" s="94" t="s">
        <v>925</v>
      </c>
      <c r="K36" s="36" t="s">
        <v>110</v>
      </c>
      <c r="L36" s="36" t="s">
        <v>113</v>
      </c>
      <c r="M36" s="36" t="s">
        <v>101</v>
      </c>
      <c r="N36" s="21"/>
      <c r="O36" s="21"/>
      <c r="P36" s="21"/>
      <c r="Q36" s="21"/>
      <c r="R36" s="21"/>
      <c r="S36" s="21"/>
      <c r="T36" s="21"/>
      <c r="U36" s="21"/>
      <c r="V36" s="21"/>
      <c r="W36" s="21"/>
      <c r="Z36" s="21"/>
      <c r="AA36" s="21"/>
      <c r="AC36" s="21"/>
      <c r="AD36" s="21"/>
      <c r="AE36" s="21"/>
      <c r="AF36" s="21"/>
      <c r="AG36" s="21"/>
      <c r="AH36" s="21"/>
      <c r="AI36" s="95" t="s">
        <v>60</v>
      </c>
      <c r="AJ36" s="341">
        <f>AJ32+AJ35</f>
        <v>0</v>
      </c>
      <c r="AK36" s="301"/>
      <c r="AL36" s="301"/>
      <c r="AM36" s="301"/>
      <c r="AN36" s="301"/>
      <c r="AO36" s="302"/>
      <c r="AP36" s="301">
        <f>AP32+AP35</f>
        <v>0</v>
      </c>
      <c r="AQ36" s="301"/>
      <c r="AR36" s="301"/>
      <c r="AS36" s="301"/>
      <c r="AT36" s="301"/>
      <c r="AU36" s="302"/>
      <c r="AV36" s="301">
        <f>AV32+AV35</f>
        <v>0</v>
      </c>
      <c r="AW36" s="301"/>
      <c r="AX36" s="301"/>
      <c r="AY36" s="301"/>
      <c r="AZ36" s="301"/>
      <c r="BA36" s="302"/>
      <c r="BB36" s="301">
        <f>BB32+BB35</f>
        <v>0</v>
      </c>
      <c r="BC36" s="301"/>
      <c r="BD36" s="301"/>
      <c r="BE36" s="301"/>
      <c r="BF36" s="301"/>
      <c r="BG36" s="302"/>
      <c r="BH36" s="301">
        <f>BH32+BH35</f>
        <v>0</v>
      </c>
      <c r="BI36" s="301"/>
      <c r="BJ36" s="301"/>
      <c r="BK36" s="301"/>
      <c r="BL36" s="301"/>
      <c r="BM36" s="302"/>
      <c r="BN36" s="301">
        <f>BN32+BN35</f>
        <v>0</v>
      </c>
      <c r="BO36" s="301"/>
      <c r="BP36" s="301"/>
      <c r="BQ36" s="301"/>
      <c r="BR36" s="301"/>
      <c r="BS36" s="302"/>
      <c r="BT36" s="301">
        <f>BT32+BT35</f>
        <v>0</v>
      </c>
      <c r="BU36" s="301"/>
      <c r="BV36" s="301"/>
      <c r="BW36" s="301"/>
      <c r="BX36" s="301"/>
      <c r="BY36" s="302"/>
      <c r="BZ36" s="301">
        <f>BZ32+BZ35</f>
        <v>0</v>
      </c>
      <c r="CA36" s="301"/>
      <c r="CB36" s="301"/>
      <c r="CC36" s="301"/>
      <c r="CD36" s="301"/>
      <c r="CE36" s="302"/>
      <c r="CF36" s="301">
        <f>CF32+CF35</f>
        <v>0</v>
      </c>
      <c r="CG36" s="301"/>
      <c r="CH36" s="301"/>
      <c r="CI36" s="301"/>
      <c r="CJ36" s="301"/>
      <c r="CK36" s="302"/>
      <c r="CL36" s="301">
        <f>CL32+CL35</f>
        <v>0</v>
      </c>
      <c r="CM36" s="301"/>
      <c r="CN36" s="301"/>
      <c r="CO36" s="301"/>
      <c r="CP36" s="301"/>
      <c r="CQ36" s="302"/>
    </row>
    <row r="37" spans="1:95" s="24" customFormat="1" ht="35.25" x14ac:dyDescent="0.25">
      <c r="B37" s="215" t="str">
        <f>AJ9</f>
        <v>VENDOR 1</v>
      </c>
      <c r="C37" s="82">
        <f>SUMIF($M$11:$M$30,B37,$O$11:$O$30)</f>
        <v>0</v>
      </c>
      <c r="D37" s="83">
        <f>COUNTIF($M$11:$M$30,B37)</f>
        <v>0</v>
      </c>
      <c r="E37" s="216">
        <f t="shared" ref="E37:E42" si="95">IFERROR(F37/(C37+F37),0)</f>
        <v>0</v>
      </c>
      <c r="F37" s="82">
        <f t="shared" ref="F37:F46" si="96">SUMIF($M$11:$M$30,B37,$AE$11:$AE$30)</f>
        <v>0</v>
      </c>
      <c r="G37" s="217" t="str">
        <f>IFERROR(C37/$C$47,"")</f>
        <v/>
      </c>
      <c r="H37" s="217" t="str">
        <f>IFERROR((SUMIFS($D$11:$D$30,$M$11:$M$30,$B37))/$D$32,"")</f>
        <v/>
      </c>
      <c r="I37" s="217" t="str">
        <f>IFERROR($D37/$B$32,"")</f>
        <v/>
      </c>
      <c r="J37" s="82">
        <f>IF(Reference!$A$13=HLOOKUP('Bid Tab (F&amp;B Ops and CatMan) 10'!$B37,$AJ$50:$CQ$59,9,0),'Bid Tab (F&amp;B Ops and CatMan) 10'!$C37*1.12,'Bid Tab (F&amp;B Ops and CatMan) 10'!$C37)</f>
        <v>0</v>
      </c>
      <c r="K37" s="218" t="str">
        <f>IF(AJ52="","",HLOOKUP($B37,$AJ$50:$CQ$59,3,0))</f>
        <v/>
      </c>
      <c r="L37" s="218" t="str">
        <f>IF(AJ53="","",HLOOKUP($B37,$AJ$50:$CQ$59,4,0))</f>
        <v/>
      </c>
      <c r="M37" s="236"/>
      <c r="N37" s="27"/>
      <c r="O37" s="27"/>
      <c r="P37" s="27"/>
      <c r="Q37" s="27"/>
      <c r="R37" s="27"/>
      <c r="S37" s="27"/>
      <c r="T37" s="27"/>
      <c r="U37" s="27"/>
      <c r="V37" s="27"/>
      <c r="W37" s="27"/>
      <c r="Z37" s="27"/>
      <c r="AA37" s="27"/>
      <c r="AC37" s="21"/>
      <c r="AD37" s="21"/>
      <c r="AE37" s="21"/>
      <c r="AF37" s="21"/>
      <c r="AG37" s="21"/>
      <c r="AH37" s="21"/>
      <c r="AI37" s="95" t="s">
        <v>96</v>
      </c>
      <c r="AJ37" s="333">
        <f>(IF(AJ58="VAT Inclusive",AJ32*0.12,0)+AJ32)</f>
        <v>0</v>
      </c>
      <c r="AK37" s="307"/>
      <c r="AL37" s="307"/>
      <c r="AM37" s="307"/>
      <c r="AN37" s="307"/>
      <c r="AO37" s="308"/>
      <c r="AP37" s="307">
        <f>(IF(AP58="VAT Inclusive",AP32*0.12,0)+AP32)</f>
        <v>0</v>
      </c>
      <c r="AQ37" s="307"/>
      <c r="AR37" s="307"/>
      <c r="AS37" s="307"/>
      <c r="AT37" s="307"/>
      <c r="AU37" s="308"/>
      <c r="AV37" s="307">
        <f>(IF(AV58="VAT Inclusive",AV32*0.12,0)+AV32)</f>
        <v>0</v>
      </c>
      <c r="AW37" s="307"/>
      <c r="AX37" s="307"/>
      <c r="AY37" s="307"/>
      <c r="AZ37" s="307"/>
      <c r="BA37" s="308"/>
      <c r="BB37" s="307">
        <f>(IF(BB58="VAT Inclusive",BB32*0.12,0)+BB32)</f>
        <v>0</v>
      </c>
      <c r="BC37" s="307"/>
      <c r="BD37" s="307"/>
      <c r="BE37" s="307"/>
      <c r="BF37" s="307"/>
      <c r="BG37" s="308"/>
      <c r="BH37" s="307">
        <f>(IF(BH58="VAT Inclusive",BH32*0.12,0)+BH32)</f>
        <v>0</v>
      </c>
      <c r="BI37" s="307"/>
      <c r="BJ37" s="307"/>
      <c r="BK37" s="307"/>
      <c r="BL37" s="307"/>
      <c r="BM37" s="308"/>
      <c r="BN37" s="307">
        <f>(IF(BN58="VAT Inclusive",BN32*0.12,0)+BN32)</f>
        <v>0</v>
      </c>
      <c r="BO37" s="307"/>
      <c r="BP37" s="307"/>
      <c r="BQ37" s="307"/>
      <c r="BR37" s="307"/>
      <c r="BS37" s="308"/>
      <c r="BT37" s="307">
        <f>(IF(BT58="VAT Inclusive",BT32*0.12,0)+BT32)</f>
        <v>0</v>
      </c>
      <c r="BU37" s="307"/>
      <c r="BV37" s="307"/>
      <c r="BW37" s="307"/>
      <c r="BX37" s="307"/>
      <c r="BY37" s="308"/>
      <c r="BZ37" s="307">
        <f>(IF(BZ58="VAT Inclusive",BZ32*0.12,0)+BZ32)</f>
        <v>0</v>
      </c>
      <c r="CA37" s="307"/>
      <c r="CB37" s="307"/>
      <c r="CC37" s="307"/>
      <c r="CD37" s="307"/>
      <c r="CE37" s="308"/>
      <c r="CF37" s="307">
        <f>(IF(CF58="VAT Inclusive",CF32*0.12,0)+CF32)</f>
        <v>0</v>
      </c>
      <c r="CG37" s="307"/>
      <c r="CH37" s="307"/>
      <c r="CI37" s="307"/>
      <c r="CJ37" s="307"/>
      <c r="CK37" s="308"/>
      <c r="CL37" s="307">
        <f>(IF(CL58="VAT Inclusive",CL32*0.12,0)+CL32)</f>
        <v>0</v>
      </c>
      <c r="CM37" s="307"/>
      <c r="CN37" s="307"/>
      <c r="CO37" s="307"/>
      <c r="CP37" s="307"/>
      <c r="CQ37" s="308"/>
    </row>
    <row r="38" spans="1:95" s="24" customFormat="1" ht="26.25" x14ac:dyDescent="0.25">
      <c r="B38" s="215" t="str">
        <f>AP9</f>
        <v>VENDOR 2</v>
      </c>
      <c r="C38" s="82">
        <f t="shared" ref="C38:C46" si="97">SUMIF($M$11:$M$30,B38,$O$11:$O$30)</f>
        <v>0</v>
      </c>
      <c r="D38" s="83">
        <f t="shared" ref="D38:D46" si="98">COUNTIF($M$11:$M$30,B38)</f>
        <v>0</v>
      </c>
      <c r="E38" s="216">
        <f t="shared" si="95"/>
        <v>0</v>
      </c>
      <c r="F38" s="82">
        <f t="shared" si="96"/>
        <v>0</v>
      </c>
      <c r="G38" s="217" t="str">
        <f t="shared" ref="G38:G46" si="99">IFERROR(C38/$C$47,"")</f>
        <v/>
      </c>
      <c r="H38" s="217" t="str">
        <f t="shared" ref="H38:H46" si="100">IFERROR((SUMIFS($D$11:$D$30,$M$11:$M$30,$B38))/$D$32,"")</f>
        <v/>
      </c>
      <c r="I38" s="217" t="str">
        <f t="shared" ref="I38:I46" si="101">IFERROR($D38/$B$32,"")</f>
        <v/>
      </c>
      <c r="J38" s="82">
        <f>IF(Reference!$A$13=HLOOKUP('Bid Tab (F&amp;B Ops and CatMan) 10'!$B38,$AJ$50:$CQ$59,9,0),'Bid Tab (F&amp;B Ops and CatMan) 10'!$C38*1.12,'Bid Tab (F&amp;B Ops and CatMan) 10'!$C38)</f>
        <v>0</v>
      </c>
      <c r="K38" s="218" t="str">
        <f>IF(AP52="","",HLOOKUP($B38,$AJ$50:$CQ$59,3,0))</f>
        <v/>
      </c>
      <c r="L38" s="218" t="str">
        <f>IF(AP53="","",HLOOKUP($B38,$AJ$50:$CQ$59,4,0))</f>
        <v/>
      </c>
      <c r="M38" s="236"/>
      <c r="N38" s="27"/>
      <c r="O38" s="27"/>
      <c r="P38" s="27"/>
      <c r="Q38" s="27"/>
      <c r="R38" s="27"/>
      <c r="S38" s="27"/>
      <c r="T38" s="27"/>
      <c r="U38" s="27"/>
      <c r="V38" s="27"/>
      <c r="W38" s="27"/>
      <c r="Z38" s="27"/>
      <c r="AA38" s="27"/>
      <c r="AC38" s="21"/>
      <c r="AD38" s="21"/>
      <c r="AE38" s="21"/>
      <c r="AF38" s="21"/>
      <c r="AG38" s="21"/>
      <c r="AH38" s="96"/>
      <c r="AI38" s="199" t="s">
        <v>911</v>
      </c>
      <c r="AJ38" s="342">
        <f>AJ35+AJ37</f>
        <v>0</v>
      </c>
      <c r="AK38" s="311"/>
      <c r="AL38" s="311"/>
      <c r="AM38" s="311"/>
      <c r="AN38" s="311"/>
      <c r="AO38" s="312"/>
      <c r="AP38" s="342">
        <f>AP35+AP37</f>
        <v>0</v>
      </c>
      <c r="AQ38" s="311"/>
      <c r="AR38" s="311"/>
      <c r="AS38" s="311"/>
      <c r="AT38" s="311"/>
      <c r="AU38" s="312"/>
      <c r="AV38" s="311">
        <f>AV35+AV37</f>
        <v>0</v>
      </c>
      <c r="AW38" s="311"/>
      <c r="AX38" s="311"/>
      <c r="AY38" s="311"/>
      <c r="AZ38" s="311"/>
      <c r="BA38" s="312"/>
      <c r="BB38" s="311">
        <f>BB35+BB37</f>
        <v>0</v>
      </c>
      <c r="BC38" s="311"/>
      <c r="BD38" s="311"/>
      <c r="BE38" s="311"/>
      <c r="BF38" s="311"/>
      <c r="BG38" s="312"/>
      <c r="BH38" s="311">
        <f>BH35+BH37</f>
        <v>0</v>
      </c>
      <c r="BI38" s="311"/>
      <c r="BJ38" s="311"/>
      <c r="BK38" s="311"/>
      <c r="BL38" s="311"/>
      <c r="BM38" s="312"/>
      <c r="BN38" s="311">
        <f>BN35+BN37</f>
        <v>0</v>
      </c>
      <c r="BO38" s="311"/>
      <c r="BP38" s="311"/>
      <c r="BQ38" s="311"/>
      <c r="BR38" s="311"/>
      <c r="BS38" s="312"/>
      <c r="BT38" s="311">
        <f>BT35+BT37</f>
        <v>0</v>
      </c>
      <c r="BU38" s="311"/>
      <c r="BV38" s="311"/>
      <c r="BW38" s="311"/>
      <c r="BX38" s="311"/>
      <c r="BY38" s="312"/>
      <c r="BZ38" s="311">
        <f>BZ35+BZ37</f>
        <v>0</v>
      </c>
      <c r="CA38" s="311"/>
      <c r="CB38" s="311"/>
      <c r="CC38" s="311"/>
      <c r="CD38" s="311"/>
      <c r="CE38" s="312"/>
      <c r="CF38" s="311">
        <f>CF35+CF37</f>
        <v>0</v>
      </c>
      <c r="CG38" s="311"/>
      <c r="CH38" s="311"/>
      <c r="CI38" s="311"/>
      <c r="CJ38" s="311"/>
      <c r="CK38" s="312"/>
      <c r="CL38" s="311">
        <f>CL35+CL37</f>
        <v>0</v>
      </c>
      <c r="CM38" s="311"/>
      <c r="CN38" s="311"/>
      <c r="CO38" s="311"/>
      <c r="CP38" s="311"/>
      <c r="CQ38" s="312"/>
    </row>
    <row r="39" spans="1:95" s="24" customFormat="1" ht="15" x14ac:dyDescent="0.25">
      <c r="B39" s="215" t="str">
        <f>AV9</f>
        <v>VENDOR 3</v>
      </c>
      <c r="C39" s="82">
        <f t="shared" si="97"/>
        <v>0</v>
      </c>
      <c r="D39" s="83">
        <f t="shared" si="98"/>
        <v>0</v>
      </c>
      <c r="E39" s="216">
        <f t="shared" si="95"/>
        <v>0</v>
      </c>
      <c r="F39" s="82">
        <f t="shared" si="96"/>
        <v>0</v>
      </c>
      <c r="G39" s="217" t="str">
        <f t="shared" si="99"/>
        <v/>
      </c>
      <c r="H39" s="217" t="str">
        <f t="shared" si="100"/>
        <v/>
      </c>
      <c r="I39" s="217" t="str">
        <f t="shared" si="101"/>
        <v/>
      </c>
      <c r="J39" s="82">
        <f>IF(Reference!$A$13=HLOOKUP('Bid Tab (F&amp;B Ops and CatMan) 10'!$B39,$AJ$50:$CQ$59,9,0),'Bid Tab (F&amp;B Ops and CatMan) 10'!$C39*1.12,'Bid Tab (F&amp;B Ops and CatMan) 10'!$C39)</f>
        <v>0</v>
      </c>
      <c r="K39" s="218" t="str">
        <f>IF(AV52="","",HLOOKUP($B39,$AJ$50:$CQ$59,3,0))</f>
        <v/>
      </c>
      <c r="L39" s="218" t="str">
        <f>IF(AV53="","",HLOOKUP($B39,$AJ$50:$CQ$59,4,0))</f>
        <v/>
      </c>
      <c r="M39" s="236"/>
      <c r="N39" s="27"/>
      <c r="O39" s="27"/>
      <c r="P39" s="27"/>
      <c r="Q39" s="27"/>
      <c r="R39" s="27"/>
      <c r="S39" s="27"/>
      <c r="T39" s="27"/>
      <c r="U39" s="27"/>
      <c r="V39" s="27"/>
      <c r="W39" s="27"/>
      <c r="Z39" s="27"/>
      <c r="AA39" s="27"/>
      <c r="AC39" s="21"/>
      <c r="AD39" s="21"/>
      <c r="AE39" s="21"/>
      <c r="AF39" s="21"/>
      <c r="AG39" s="21"/>
      <c r="AH39" s="21"/>
      <c r="AI39" s="21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  <c r="BP39" s="28"/>
      <c r="BQ39" s="28"/>
      <c r="BR39" s="28"/>
      <c r="BS39" s="28"/>
      <c r="BT39" s="28"/>
      <c r="BU39" s="28"/>
      <c r="BV39" s="28"/>
      <c r="BW39" s="28"/>
      <c r="BX39" s="28"/>
      <c r="BY39" s="28"/>
      <c r="BZ39" s="28"/>
      <c r="CA39" s="28"/>
      <c r="CB39" s="28"/>
      <c r="CC39" s="28"/>
      <c r="CD39" s="28"/>
      <c r="CE39" s="28"/>
      <c r="CF39" s="28"/>
      <c r="CG39" s="28"/>
      <c r="CH39" s="28"/>
      <c r="CI39" s="28"/>
      <c r="CJ39" s="28"/>
      <c r="CK39" s="28"/>
      <c r="CL39" s="28"/>
      <c r="CM39" s="28"/>
      <c r="CN39" s="28"/>
      <c r="CO39" s="28"/>
      <c r="CP39" s="28"/>
      <c r="CQ39" s="28"/>
    </row>
    <row r="40" spans="1:95" s="24" customFormat="1" ht="15" customHeight="1" outlineLevel="1" x14ac:dyDescent="0.25">
      <c r="B40" s="215" t="str">
        <f>BB9</f>
        <v>VENDOR 4</v>
      </c>
      <c r="C40" s="82">
        <f t="shared" si="97"/>
        <v>0</v>
      </c>
      <c r="D40" s="83">
        <f t="shared" si="98"/>
        <v>0</v>
      </c>
      <c r="E40" s="216">
        <f t="shared" si="95"/>
        <v>0</v>
      </c>
      <c r="F40" s="82">
        <f t="shared" si="96"/>
        <v>0</v>
      </c>
      <c r="G40" s="217" t="str">
        <f t="shared" si="99"/>
        <v/>
      </c>
      <c r="H40" s="217" t="str">
        <f t="shared" si="100"/>
        <v/>
      </c>
      <c r="I40" s="217" t="str">
        <f t="shared" si="101"/>
        <v/>
      </c>
      <c r="J40" s="82">
        <f>IF(Reference!$A$13=HLOOKUP('Bid Tab (F&amp;B Ops and CatMan) 10'!$B40,$AJ$50:$CQ$59,9,0),'Bid Tab (F&amp;B Ops and CatMan) 10'!$C40*1.12,'Bid Tab (F&amp;B Ops and CatMan) 10'!$C40)</f>
        <v>0</v>
      </c>
      <c r="K40" s="218" t="str">
        <f>IF(BB52="","",HLOOKUP($B40,$AJ$50:$CQ$59,3,0))</f>
        <v/>
      </c>
      <c r="L40" s="218" t="str">
        <f>IF(BB53="","",HLOOKUP($B40,$AJ$50:$CQ$59,4,0))</f>
        <v/>
      </c>
      <c r="M40" s="236"/>
      <c r="N40" s="27"/>
      <c r="O40" s="27"/>
      <c r="P40" s="27"/>
      <c r="Q40" s="27"/>
      <c r="R40" s="27"/>
      <c r="S40" s="27"/>
      <c r="T40" s="27"/>
      <c r="U40" s="27"/>
      <c r="V40" s="27"/>
      <c r="W40" s="27"/>
      <c r="Z40" s="27"/>
      <c r="AA40" s="27"/>
      <c r="AC40" s="21"/>
      <c r="AD40" s="21"/>
      <c r="AE40" s="21"/>
      <c r="AF40" s="21"/>
      <c r="AG40" s="27"/>
      <c r="AH40" s="26"/>
      <c r="AI40" s="26"/>
      <c r="AJ40" s="304" t="str">
        <f>AJ9</f>
        <v>VENDOR 1</v>
      </c>
      <c r="AK40" s="304"/>
      <c r="AL40" s="304"/>
      <c r="AM40" s="304"/>
      <c r="AN40" s="304"/>
      <c r="AO40" s="305"/>
      <c r="AP40" s="303" t="str">
        <f>AP9</f>
        <v>VENDOR 2</v>
      </c>
      <c r="AQ40" s="304"/>
      <c r="AR40" s="304"/>
      <c r="AS40" s="304"/>
      <c r="AT40" s="304"/>
      <c r="AU40" s="305"/>
      <c r="AV40" s="303" t="str">
        <f>AV9</f>
        <v>VENDOR 3</v>
      </c>
      <c r="AW40" s="304"/>
      <c r="AX40" s="304"/>
      <c r="AY40" s="304"/>
      <c r="AZ40" s="304"/>
      <c r="BA40" s="305"/>
      <c r="BB40" s="303" t="str">
        <f>BB9</f>
        <v>VENDOR 4</v>
      </c>
      <c r="BC40" s="304"/>
      <c r="BD40" s="304"/>
      <c r="BE40" s="304"/>
      <c r="BF40" s="304"/>
      <c r="BG40" s="305"/>
      <c r="BH40" s="303" t="str">
        <f>BH9</f>
        <v>VENDOR 5</v>
      </c>
      <c r="BI40" s="304"/>
      <c r="BJ40" s="304"/>
      <c r="BK40" s="304"/>
      <c r="BL40" s="304"/>
      <c r="BM40" s="305"/>
      <c r="BN40" s="303" t="str">
        <f>BN9</f>
        <v>VENDOR 6</v>
      </c>
      <c r="BO40" s="304"/>
      <c r="BP40" s="304"/>
      <c r="BQ40" s="304"/>
      <c r="BR40" s="304"/>
      <c r="BS40" s="305"/>
      <c r="BT40" s="303" t="str">
        <f>BT9</f>
        <v>VENDOR 7</v>
      </c>
      <c r="BU40" s="304"/>
      <c r="BV40" s="304"/>
      <c r="BW40" s="304"/>
      <c r="BX40" s="304"/>
      <c r="BY40" s="305"/>
      <c r="BZ40" s="303" t="str">
        <f>BZ9</f>
        <v>VENDOR 8</v>
      </c>
      <c r="CA40" s="304"/>
      <c r="CB40" s="304"/>
      <c r="CC40" s="304"/>
      <c r="CD40" s="304"/>
      <c r="CE40" s="305"/>
      <c r="CF40" s="303" t="str">
        <f>CF9</f>
        <v>VENDOR 9</v>
      </c>
      <c r="CG40" s="304"/>
      <c r="CH40" s="304"/>
      <c r="CI40" s="304"/>
      <c r="CJ40" s="304"/>
      <c r="CK40" s="305"/>
      <c r="CL40" s="303" t="str">
        <f>CL9</f>
        <v>VENDOR 10</v>
      </c>
      <c r="CM40" s="304"/>
      <c r="CN40" s="304"/>
      <c r="CO40" s="304"/>
      <c r="CP40" s="304"/>
      <c r="CQ40" s="305"/>
    </row>
    <row r="41" spans="1:95" s="24" customFormat="1" ht="15" outlineLevel="1" x14ac:dyDescent="0.25">
      <c r="B41" s="215" t="str">
        <f>BH9</f>
        <v>VENDOR 5</v>
      </c>
      <c r="C41" s="82">
        <f t="shared" si="97"/>
        <v>0</v>
      </c>
      <c r="D41" s="83">
        <f t="shared" si="98"/>
        <v>0</v>
      </c>
      <c r="E41" s="216">
        <f t="shared" si="95"/>
        <v>0</v>
      </c>
      <c r="F41" s="82">
        <f t="shared" si="96"/>
        <v>0</v>
      </c>
      <c r="G41" s="217" t="str">
        <f t="shared" si="99"/>
        <v/>
      </c>
      <c r="H41" s="217" t="str">
        <f t="shared" si="100"/>
        <v/>
      </c>
      <c r="I41" s="217" t="str">
        <f t="shared" si="101"/>
        <v/>
      </c>
      <c r="J41" s="82">
        <f>IF(Reference!$A$13=HLOOKUP('Bid Tab (F&amp;B Ops and CatMan) 10'!$B41,$AJ$50:$CQ$59,9,0),'Bid Tab (F&amp;B Ops and CatMan) 10'!$C41*1.12,'Bid Tab (F&amp;B Ops and CatMan) 10'!$C41)</f>
        <v>0</v>
      </c>
      <c r="K41" s="218" t="str">
        <f>IF(BH52="","",HLOOKUP($B41,$AJ$50:$CQ$59,3,0))</f>
        <v/>
      </c>
      <c r="L41" s="218" t="str">
        <f>IF(BH53="","",HLOOKUP($B41,$AJ$50:$CQ$59,4,0))</f>
        <v/>
      </c>
      <c r="M41" s="236"/>
      <c r="N41" s="27"/>
      <c r="O41" s="27"/>
      <c r="P41" s="27"/>
      <c r="Q41" s="27"/>
      <c r="R41" s="27"/>
      <c r="S41" s="27"/>
      <c r="T41" s="27"/>
      <c r="U41" s="27"/>
      <c r="V41" s="27"/>
      <c r="W41" s="27"/>
      <c r="Z41" s="27"/>
      <c r="AA41" s="27"/>
      <c r="AB41" s="27"/>
      <c r="AC41" s="27"/>
      <c r="AD41" s="27"/>
      <c r="AE41" s="46"/>
      <c r="AF41" s="46"/>
      <c r="AG41" s="46"/>
      <c r="AH41" s="46"/>
      <c r="AI41" s="14" t="s">
        <v>61</v>
      </c>
      <c r="AJ41" s="297" t="s">
        <v>62</v>
      </c>
      <c r="AK41" s="298"/>
      <c r="AL41" s="306"/>
      <c r="AM41" s="297" t="s">
        <v>63</v>
      </c>
      <c r="AN41" s="298"/>
      <c r="AO41" s="299"/>
      <c r="AP41" s="298" t="s">
        <v>62</v>
      </c>
      <c r="AQ41" s="298"/>
      <c r="AR41" s="306"/>
      <c r="AS41" s="297" t="s">
        <v>63</v>
      </c>
      <c r="AT41" s="298"/>
      <c r="AU41" s="299"/>
      <c r="AV41" s="298" t="s">
        <v>62</v>
      </c>
      <c r="AW41" s="298"/>
      <c r="AX41" s="306"/>
      <c r="AY41" s="297" t="s">
        <v>63</v>
      </c>
      <c r="AZ41" s="298"/>
      <c r="BA41" s="299"/>
      <c r="BB41" s="298" t="s">
        <v>62</v>
      </c>
      <c r="BC41" s="298"/>
      <c r="BD41" s="306"/>
      <c r="BE41" s="297" t="s">
        <v>63</v>
      </c>
      <c r="BF41" s="298"/>
      <c r="BG41" s="299"/>
      <c r="BH41" s="298" t="s">
        <v>62</v>
      </c>
      <c r="BI41" s="298"/>
      <c r="BJ41" s="306"/>
      <c r="BK41" s="297" t="s">
        <v>63</v>
      </c>
      <c r="BL41" s="298"/>
      <c r="BM41" s="299"/>
      <c r="BN41" s="298" t="s">
        <v>62</v>
      </c>
      <c r="BO41" s="298"/>
      <c r="BP41" s="306"/>
      <c r="BQ41" s="297" t="s">
        <v>63</v>
      </c>
      <c r="BR41" s="298"/>
      <c r="BS41" s="299"/>
      <c r="BT41" s="298" t="s">
        <v>62</v>
      </c>
      <c r="BU41" s="298"/>
      <c r="BV41" s="306"/>
      <c r="BW41" s="297" t="s">
        <v>63</v>
      </c>
      <c r="BX41" s="298"/>
      <c r="BY41" s="299"/>
      <c r="BZ41" s="298" t="s">
        <v>62</v>
      </c>
      <c r="CA41" s="298"/>
      <c r="CB41" s="306"/>
      <c r="CC41" s="297" t="s">
        <v>63</v>
      </c>
      <c r="CD41" s="298"/>
      <c r="CE41" s="299"/>
      <c r="CF41" s="298" t="s">
        <v>62</v>
      </c>
      <c r="CG41" s="298"/>
      <c r="CH41" s="306"/>
      <c r="CI41" s="297" t="s">
        <v>63</v>
      </c>
      <c r="CJ41" s="298"/>
      <c r="CK41" s="299"/>
      <c r="CL41" s="298" t="s">
        <v>62</v>
      </c>
      <c r="CM41" s="298"/>
      <c r="CN41" s="306"/>
      <c r="CO41" s="297" t="s">
        <v>63</v>
      </c>
      <c r="CP41" s="298"/>
      <c r="CQ41" s="299"/>
    </row>
    <row r="42" spans="1:95" s="24" customFormat="1" ht="15" outlineLevel="1" x14ac:dyDescent="0.25">
      <c r="B42" s="215" t="str">
        <f>BN9</f>
        <v>VENDOR 6</v>
      </c>
      <c r="C42" s="82">
        <f t="shared" si="97"/>
        <v>0</v>
      </c>
      <c r="D42" s="83">
        <f t="shared" si="98"/>
        <v>0</v>
      </c>
      <c r="E42" s="216">
        <f t="shared" si="95"/>
        <v>0</v>
      </c>
      <c r="F42" s="82">
        <f t="shared" si="96"/>
        <v>0</v>
      </c>
      <c r="G42" s="217" t="str">
        <f t="shared" si="99"/>
        <v/>
      </c>
      <c r="H42" s="217" t="str">
        <f t="shared" si="100"/>
        <v/>
      </c>
      <c r="I42" s="217" t="str">
        <f t="shared" si="101"/>
        <v/>
      </c>
      <c r="J42" s="82">
        <f>IF(Reference!$A$13=HLOOKUP('Bid Tab (F&amp;B Ops and CatMan) 10'!$B42,$AJ$50:$CQ$59,9,0),'Bid Tab (F&amp;B Ops and CatMan) 10'!$C42*1.12,'Bid Tab (F&amp;B Ops and CatMan) 10'!$C42)</f>
        <v>0</v>
      </c>
      <c r="K42" s="218" t="str">
        <f>IF(BN52="","",HLOOKUP($B42,$AJ$50:$CQ$59,3,0))</f>
        <v/>
      </c>
      <c r="L42" s="218" t="str">
        <f>IF(BN53="","",HLOOKUP($B42,$AJ$50:$CQ$59,4,0))</f>
        <v/>
      </c>
      <c r="M42" s="236"/>
      <c r="N42" s="27"/>
      <c r="O42" s="27"/>
      <c r="P42" s="27"/>
      <c r="Q42" s="27"/>
      <c r="R42" s="27"/>
      <c r="S42" s="27"/>
      <c r="T42" s="27"/>
      <c r="U42" s="27"/>
      <c r="V42" s="27"/>
      <c r="W42" s="27"/>
      <c r="Z42" s="27"/>
      <c r="AA42" s="27"/>
      <c r="AC42" s="21"/>
      <c r="AD42" s="21"/>
      <c r="AE42" s="21"/>
      <c r="AF42" s="21"/>
      <c r="AG42" s="27"/>
      <c r="AH42" s="26"/>
      <c r="AI42" s="29" t="s">
        <v>65</v>
      </c>
      <c r="AJ42" s="297"/>
      <c r="AK42" s="298"/>
      <c r="AL42" s="306"/>
      <c r="AM42" s="297"/>
      <c r="AN42" s="298"/>
      <c r="AO42" s="299"/>
      <c r="AP42" s="298"/>
      <c r="AQ42" s="298"/>
      <c r="AR42" s="306"/>
      <c r="AS42" s="297"/>
      <c r="AT42" s="298"/>
      <c r="AU42" s="299"/>
      <c r="AV42" s="298"/>
      <c r="AW42" s="298"/>
      <c r="AX42" s="306"/>
      <c r="AY42" s="297"/>
      <c r="AZ42" s="298"/>
      <c r="BA42" s="299"/>
      <c r="BB42" s="298"/>
      <c r="BC42" s="298"/>
      <c r="BD42" s="306"/>
      <c r="BE42" s="297"/>
      <c r="BF42" s="298"/>
      <c r="BG42" s="299"/>
      <c r="BH42" s="298"/>
      <c r="BI42" s="298"/>
      <c r="BJ42" s="306"/>
      <c r="BK42" s="297"/>
      <c r="BL42" s="298"/>
      <c r="BM42" s="299"/>
      <c r="BN42" s="298"/>
      <c r="BO42" s="298"/>
      <c r="BP42" s="306"/>
      <c r="BQ42" s="297"/>
      <c r="BR42" s="298"/>
      <c r="BS42" s="299"/>
      <c r="BT42" s="298"/>
      <c r="BU42" s="298"/>
      <c r="BV42" s="306"/>
      <c r="BW42" s="297"/>
      <c r="BX42" s="298"/>
      <c r="BY42" s="299"/>
      <c r="BZ42" s="298"/>
      <c r="CA42" s="298"/>
      <c r="CB42" s="306"/>
      <c r="CC42" s="297"/>
      <c r="CD42" s="298"/>
      <c r="CE42" s="299"/>
      <c r="CF42" s="298"/>
      <c r="CG42" s="298"/>
      <c r="CH42" s="306"/>
      <c r="CI42" s="297"/>
      <c r="CJ42" s="298"/>
      <c r="CK42" s="299"/>
      <c r="CL42" s="298"/>
      <c r="CM42" s="298"/>
      <c r="CN42" s="306"/>
      <c r="CO42" s="297"/>
      <c r="CP42" s="298"/>
      <c r="CQ42" s="299"/>
    </row>
    <row r="43" spans="1:95" s="24" customFormat="1" ht="15" outlineLevel="1" x14ac:dyDescent="0.25">
      <c r="B43" s="215" t="str">
        <f>BT9</f>
        <v>VENDOR 7</v>
      </c>
      <c r="C43" s="82">
        <f t="shared" si="97"/>
        <v>0</v>
      </c>
      <c r="D43" s="83">
        <f t="shared" si="98"/>
        <v>0</v>
      </c>
      <c r="E43" s="216">
        <f t="shared" ref="E43:E46" si="102">IFERROR(F43/(C43+F43),0)</f>
        <v>0</v>
      </c>
      <c r="F43" s="82">
        <f t="shared" si="96"/>
        <v>0</v>
      </c>
      <c r="G43" s="217" t="str">
        <f t="shared" si="99"/>
        <v/>
      </c>
      <c r="H43" s="217" t="str">
        <f t="shared" si="100"/>
        <v/>
      </c>
      <c r="I43" s="217" t="str">
        <f t="shared" si="101"/>
        <v/>
      </c>
      <c r="J43" s="82">
        <f>IF(Reference!$A$13=HLOOKUP('Bid Tab (F&amp;B Ops and CatMan) 10'!$B43,$AJ$50:$CQ$59,9,0),'Bid Tab (F&amp;B Ops and CatMan) 10'!$C43*1.12,'Bid Tab (F&amp;B Ops and CatMan) 10'!$C43)</f>
        <v>0</v>
      </c>
      <c r="K43" s="218" t="str">
        <f>IF(BT52="","",HLOOKUP($B43,$AJ$50:$CQ$59,3,0))</f>
        <v/>
      </c>
      <c r="L43" s="218" t="str">
        <f>IF(BT53="","",HLOOKUP($B43,$AJ$50:$CQ$59,4,0))</f>
        <v/>
      </c>
      <c r="M43" s="236"/>
      <c r="N43" s="27"/>
      <c r="O43" s="27"/>
      <c r="P43" s="27"/>
      <c r="Q43" s="27"/>
      <c r="R43" s="27"/>
      <c r="S43" s="27"/>
      <c r="T43" s="27"/>
      <c r="U43" s="27"/>
      <c r="V43" s="27"/>
      <c r="W43" s="27"/>
      <c r="Z43" s="27"/>
      <c r="AA43" s="27"/>
      <c r="AC43" s="21"/>
      <c r="AD43" s="21"/>
      <c r="AE43" s="21"/>
      <c r="AF43" s="21"/>
      <c r="AG43" s="27"/>
      <c r="AH43" s="26"/>
      <c r="AI43" s="29" t="s">
        <v>66</v>
      </c>
      <c r="AJ43" s="297"/>
      <c r="AK43" s="298"/>
      <c r="AL43" s="306"/>
      <c r="AM43" s="297"/>
      <c r="AN43" s="298"/>
      <c r="AO43" s="299"/>
      <c r="AP43" s="298"/>
      <c r="AQ43" s="298"/>
      <c r="AR43" s="306"/>
      <c r="AS43" s="297"/>
      <c r="AT43" s="298"/>
      <c r="AU43" s="299"/>
      <c r="AV43" s="298"/>
      <c r="AW43" s="298"/>
      <c r="AX43" s="306"/>
      <c r="AY43" s="297"/>
      <c r="AZ43" s="298"/>
      <c r="BA43" s="299"/>
      <c r="BB43" s="298"/>
      <c r="BC43" s="298"/>
      <c r="BD43" s="306"/>
      <c r="BE43" s="297"/>
      <c r="BF43" s="298"/>
      <c r="BG43" s="299"/>
      <c r="BH43" s="298"/>
      <c r="BI43" s="298"/>
      <c r="BJ43" s="306"/>
      <c r="BK43" s="297"/>
      <c r="BL43" s="298"/>
      <c r="BM43" s="299"/>
      <c r="BN43" s="298"/>
      <c r="BO43" s="298"/>
      <c r="BP43" s="306"/>
      <c r="BQ43" s="297"/>
      <c r="BR43" s="298"/>
      <c r="BS43" s="299"/>
      <c r="BT43" s="298"/>
      <c r="BU43" s="298"/>
      <c r="BV43" s="306"/>
      <c r="BW43" s="297"/>
      <c r="BX43" s="298"/>
      <c r="BY43" s="299"/>
      <c r="BZ43" s="298"/>
      <c r="CA43" s="298"/>
      <c r="CB43" s="306"/>
      <c r="CC43" s="297"/>
      <c r="CD43" s="298"/>
      <c r="CE43" s="299"/>
      <c r="CF43" s="298"/>
      <c r="CG43" s="298"/>
      <c r="CH43" s="306"/>
      <c r="CI43" s="297"/>
      <c r="CJ43" s="298"/>
      <c r="CK43" s="299"/>
      <c r="CL43" s="298"/>
      <c r="CM43" s="298"/>
      <c r="CN43" s="306"/>
      <c r="CO43" s="297"/>
      <c r="CP43" s="298"/>
      <c r="CQ43" s="299"/>
    </row>
    <row r="44" spans="1:95" s="24" customFormat="1" ht="15" outlineLevel="1" x14ac:dyDescent="0.25">
      <c r="B44" s="215" t="str">
        <f>BZ9</f>
        <v>VENDOR 8</v>
      </c>
      <c r="C44" s="82">
        <f t="shared" si="97"/>
        <v>0</v>
      </c>
      <c r="D44" s="83">
        <f t="shared" si="98"/>
        <v>0</v>
      </c>
      <c r="E44" s="216">
        <f t="shared" si="102"/>
        <v>0</v>
      </c>
      <c r="F44" s="82">
        <f t="shared" si="96"/>
        <v>0</v>
      </c>
      <c r="G44" s="217" t="str">
        <f t="shared" si="99"/>
        <v/>
      </c>
      <c r="H44" s="217" t="str">
        <f t="shared" si="100"/>
        <v/>
      </c>
      <c r="I44" s="217" t="str">
        <f t="shared" si="101"/>
        <v/>
      </c>
      <c r="J44" s="82">
        <f>IF(Reference!$A$13=HLOOKUP('Bid Tab (F&amp;B Ops and CatMan) 10'!$B44,$AJ$50:$CQ$59,9,0),'Bid Tab (F&amp;B Ops and CatMan) 10'!$C44*1.12,'Bid Tab (F&amp;B Ops and CatMan) 10'!$C44)</f>
        <v>0</v>
      </c>
      <c r="K44" s="218" t="str">
        <f>IF(BZ52="","",HLOOKUP($B44,$AJ$50:$CQ$59,3,0))</f>
        <v/>
      </c>
      <c r="L44" s="218" t="str">
        <f>IF(BZ53="","",HLOOKUP($B44,$AJ$50:$CQ$59,4,0))</f>
        <v/>
      </c>
      <c r="M44" s="236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AA44" s="27"/>
      <c r="AB44" s="27"/>
      <c r="AC44" s="21"/>
      <c r="AD44" s="21"/>
      <c r="AE44" s="21"/>
      <c r="AF44" s="21"/>
      <c r="AG44" s="27"/>
      <c r="AH44" s="26"/>
      <c r="AI44" s="29" t="s">
        <v>67</v>
      </c>
      <c r="AJ44" s="297"/>
      <c r="AK44" s="298"/>
      <c r="AL44" s="306"/>
      <c r="AM44" s="297"/>
      <c r="AN44" s="298"/>
      <c r="AO44" s="299"/>
      <c r="AP44" s="298"/>
      <c r="AQ44" s="298"/>
      <c r="AR44" s="306"/>
      <c r="AS44" s="297"/>
      <c r="AT44" s="298"/>
      <c r="AU44" s="299"/>
      <c r="AV44" s="298"/>
      <c r="AW44" s="298"/>
      <c r="AX44" s="306"/>
      <c r="AY44" s="297"/>
      <c r="AZ44" s="298"/>
      <c r="BA44" s="299"/>
      <c r="BB44" s="298"/>
      <c r="BC44" s="298"/>
      <c r="BD44" s="306"/>
      <c r="BE44" s="297"/>
      <c r="BF44" s="298"/>
      <c r="BG44" s="299"/>
      <c r="BH44" s="298"/>
      <c r="BI44" s="298"/>
      <c r="BJ44" s="306"/>
      <c r="BK44" s="297"/>
      <c r="BL44" s="298"/>
      <c r="BM44" s="299"/>
      <c r="BN44" s="298"/>
      <c r="BO44" s="298"/>
      <c r="BP44" s="306"/>
      <c r="BQ44" s="297"/>
      <c r="BR44" s="298"/>
      <c r="BS44" s="299"/>
      <c r="BT44" s="298"/>
      <c r="BU44" s="298"/>
      <c r="BV44" s="306"/>
      <c r="BW44" s="297"/>
      <c r="BX44" s="298"/>
      <c r="BY44" s="299"/>
      <c r="BZ44" s="298"/>
      <c r="CA44" s="298"/>
      <c r="CB44" s="306"/>
      <c r="CC44" s="297"/>
      <c r="CD44" s="298"/>
      <c r="CE44" s="299"/>
      <c r="CF44" s="298"/>
      <c r="CG44" s="298"/>
      <c r="CH44" s="306"/>
      <c r="CI44" s="297"/>
      <c r="CJ44" s="298"/>
      <c r="CK44" s="299"/>
      <c r="CL44" s="298"/>
      <c r="CM44" s="298"/>
      <c r="CN44" s="306"/>
      <c r="CO44" s="297"/>
      <c r="CP44" s="298"/>
      <c r="CQ44" s="299"/>
    </row>
    <row r="45" spans="1:95" s="24" customFormat="1" ht="15" outlineLevel="1" x14ac:dyDescent="0.25">
      <c r="B45" s="215" t="str">
        <f>CF9</f>
        <v>VENDOR 9</v>
      </c>
      <c r="C45" s="82">
        <f t="shared" si="97"/>
        <v>0</v>
      </c>
      <c r="D45" s="83">
        <f t="shared" si="98"/>
        <v>0</v>
      </c>
      <c r="E45" s="216">
        <f t="shared" si="102"/>
        <v>0</v>
      </c>
      <c r="F45" s="82">
        <f t="shared" si="96"/>
        <v>0</v>
      </c>
      <c r="G45" s="217" t="str">
        <f t="shared" si="99"/>
        <v/>
      </c>
      <c r="H45" s="217" t="str">
        <f t="shared" si="100"/>
        <v/>
      </c>
      <c r="I45" s="217" t="str">
        <f t="shared" si="101"/>
        <v/>
      </c>
      <c r="J45" s="82">
        <f>IF(Reference!$A$13=HLOOKUP('Bid Tab (F&amp;B Ops and CatMan) 10'!$B45,$AJ$50:$CQ$59,9,0),'Bid Tab (F&amp;B Ops and CatMan) 10'!$C45*1.12,'Bid Tab (F&amp;B Ops and CatMan) 10'!$C45)</f>
        <v>0</v>
      </c>
      <c r="K45" s="218" t="str">
        <f>IF(CF52="","",HLOOKUP($B45,$AJ$50:$CQ$59,3,0))</f>
        <v/>
      </c>
      <c r="L45" s="218" t="str">
        <f>IF(CF53="","",HLOOKUP($B45,$AJ$50:$CQ$59,4,0))</f>
        <v/>
      </c>
      <c r="M45" s="236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AA45" s="27"/>
      <c r="AB45" s="27"/>
      <c r="AC45" s="21"/>
      <c r="AD45" s="21"/>
      <c r="AE45" s="21"/>
      <c r="AF45" s="21"/>
      <c r="AG45" s="27"/>
      <c r="AH45" s="26"/>
      <c r="AI45" s="29"/>
      <c r="AJ45" s="138"/>
      <c r="AK45" s="139"/>
      <c r="AL45" s="139"/>
      <c r="AM45" s="139"/>
      <c r="AN45" s="139"/>
      <c r="AO45" s="158"/>
      <c r="AP45" s="152"/>
      <c r="AQ45" s="139"/>
      <c r="AR45" s="139"/>
      <c r="AS45" s="139"/>
      <c r="AT45" s="139"/>
      <c r="AU45" s="158"/>
      <c r="AV45" s="152"/>
      <c r="AW45" s="139"/>
      <c r="AX45" s="139"/>
      <c r="AY45" s="139"/>
      <c r="AZ45" s="139"/>
      <c r="BA45" s="158"/>
      <c r="BB45" s="152"/>
      <c r="BC45" s="141"/>
      <c r="BD45" s="141"/>
      <c r="BE45" s="141"/>
      <c r="BF45" s="141"/>
      <c r="BG45" s="158"/>
      <c r="BH45" s="152"/>
      <c r="BI45" s="139"/>
      <c r="BJ45" s="139"/>
      <c r="BK45" s="139"/>
      <c r="BL45" s="139"/>
      <c r="BM45" s="158"/>
      <c r="BN45" s="152"/>
      <c r="BO45" s="141"/>
      <c r="BP45" s="141"/>
      <c r="BQ45" s="141"/>
      <c r="BR45" s="141"/>
      <c r="BS45" s="158"/>
      <c r="BT45" s="152"/>
      <c r="BU45" s="152"/>
      <c r="BV45" s="152"/>
      <c r="BW45" s="152"/>
      <c r="BX45" s="152"/>
      <c r="BY45" s="158"/>
      <c r="BZ45" s="152"/>
      <c r="CA45" s="152"/>
      <c r="CB45" s="152"/>
      <c r="CC45" s="152"/>
      <c r="CD45" s="152"/>
      <c r="CE45" s="158"/>
      <c r="CF45" s="152"/>
      <c r="CG45" s="152"/>
      <c r="CH45" s="152"/>
      <c r="CI45" s="152"/>
      <c r="CJ45" s="152"/>
      <c r="CK45" s="158"/>
      <c r="CL45" s="152"/>
      <c r="CM45" s="152"/>
      <c r="CN45" s="152"/>
      <c r="CO45" s="152"/>
      <c r="CP45" s="152"/>
      <c r="CQ45" s="158"/>
    </row>
    <row r="46" spans="1:95" s="24" customFormat="1" ht="15" outlineLevel="1" x14ac:dyDescent="0.25">
      <c r="B46" s="215" t="str">
        <f>CL9</f>
        <v>VENDOR 10</v>
      </c>
      <c r="C46" s="82">
        <f t="shared" si="97"/>
        <v>0</v>
      </c>
      <c r="D46" s="83">
        <f t="shared" si="98"/>
        <v>0</v>
      </c>
      <c r="E46" s="216">
        <f t="shared" si="102"/>
        <v>0</v>
      </c>
      <c r="F46" s="82">
        <f t="shared" si="96"/>
        <v>0</v>
      </c>
      <c r="G46" s="217" t="str">
        <f t="shared" si="99"/>
        <v/>
      </c>
      <c r="H46" s="217" t="str">
        <f t="shared" si="100"/>
        <v/>
      </c>
      <c r="I46" s="217" t="str">
        <f t="shared" si="101"/>
        <v/>
      </c>
      <c r="J46" s="82">
        <f>IF(Reference!$A$13=HLOOKUP('Bid Tab (F&amp;B Ops and CatMan) 10'!$B46,$AJ$50:$CQ$59,9,0),'Bid Tab (F&amp;B Ops and CatMan) 10'!$C46*1.12,'Bid Tab (F&amp;B Ops and CatMan) 10'!$C46)</f>
        <v>0</v>
      </c>
      <c r="K46" s="218" t="str">
        <f>IF(CL52="","",HLOOKUP($B46,$AJ$50:$CQ$59,3,0))</f>
        <v/>
      </c>
      <c r="L46" s="218" t="str">
        <f>IF(CL53="","",HLOOKUP($B46,$AJ$50:$CQ$59,4,0))</f>
        <v/>
      </c>
      <c r="M46" s="236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AA46" s="27"/>
      <c r="AB46" s="27"/>
      <c r="AC46" s="21"/>
      <c r="AD46" s="21"/>
      <c r="AE46" s="21"/>
      <c r="AF46" s="21"/>
      <c r="AG46" s="27"/>
      <c r="AH46" s="26"/>
      <c r="AI46" s="29"/>
      <c r="AJ46" s="138"/>
      <c r="AK46" s="139"/>
      <c r="AL46" s="139"/>
      <c r="AM46" s="139"/>
      <c r="AN46" s="139"/>
      <c r="AO46" s="158"/>
      <c r="AP46" s="152"/>
      <c r="AQ46" s="139"/>
      <c r="AR46" s="139"/>
      <c r="AS46" s="139"/>
      <c r="AT46" s="139"/>
      <c r="AU46" s="158"/>
      <c r="AV46" s="152"/>
      <c r="AW46" s="139"/>
      <c r="AX46" s="139"/>
      <c r="AY46" s="139"/>
      <c r="AZ46" s="139"/>
      <c r="BA46" s="158"/>
      <c r="BB46" s="152"/>
      <c r="BC46" s="141"/>
      <c r="BD46" s="141"/>
      <c r="BE46" s="141"/>
      <c r="BF46" s="141"/>
      <c r="BG46" s="158"/>
      <c r="BH46" s="152"/>
      <c r="BI46" s="139"/>
      <c r="BJ46" s="139"/>
      <c r="BK46" s="139"/>
      <c r="BL46" s="139"/>
      <c r="BM46" s="158"/>
      <c r="BN46" s="152"/>
      <c r="BO46" s="141"/>
      <c r="BP46" s="141"/>
      <c r="BQ46" s="141"/>
      <c r="BR46" s="141"/>
      <c r="BS46" s="158"/>
      <c r="BT46" s="152"/>
      <c r="BU46" s="152"/>
      <c r="BV46" s="152"/>
      <c r="BW46" s="152"/>
      <c r="BX46" s="152"/>
      <c r="BY46" s="158"/>
      <c r="BZ46" s="152"/>
      <c r="CA46" s="152"/>
      <c r="CB46" s="152"/>
      <c r="CC46" s="152"/>
      <c r="CD46" s="152"/>
      <c r="CE46" s="158"/>
      <c r="CF46" s="152"/>
      <c r="CG46" s="152"/>
      <c r="CH46" s="152"/>
      <c r="CI46" s="152"/>
      <c r="CJ46" s="152"/>
      <c r="CK46" s="158"/>
      <c r="CL46" s="152"/>
      <c r="CM46" s="152"/>
      <c r="CN46" s="152"/>
      <c r="CO46" s="152"/>
      <c r="CP46" s="152"/>
      <c r="CQ46" s="158"/>
    </row>
    <row r="47" spans="1:95" s="24" customFormat="1" ht="15" x14ac:dyDescent="0.25">
      <c r="B47" s="220" t="s">
        <v>64</v>
      </c>
      <c r="C47" s="146">
        <f>ROUNDUP(SUM(C37:C46),2)</f>
        <v>0</v>
      </c>
      <c r="D47" s="147">
        <f>ROUNDUP(SUM(D37:D46),2)</f>
        <v>0</v>
      </c>
      <c r="E47" s="148">
        <f>IFERROR(F47/C47+F47,0)</f>
        <v>0</v>
      </c>
      <c r="F47" s="149">
        <f>SUM(F37:F46)</f>
        <v>0</v>
      </c>
      <c r="G47" s="150">
        <f>SUM(G37:G46)</f>
        <v>0</v>
      </c>
      <c r="H47" s="150">
        <f>SUM(H37:H46)</f>
        <v>0</v>
      </c>
      <c r="I47" s="150">
        <f>SUM(I37:I46)</f>
        <v>0</v>
      </c>
      <c r="J47" s="146">
        <f>SUM(J37:J46)</f>
        <v>0</v>
      </c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AA47" s="27"/>
      <c r="AB47" s="27"/>
      <c r="AC47" s="21"/>
      <c r="AD47" s="21"/>
      <c r="AE47" s="21"/>
      <c r="AF47" s="21"/>
      <c r="AG47" s="27"/>
      <c r="AH47" s="26"/>
      <c r="AI47" s="29"/>
      <c r="AJ47" s="138"/>
      <c r="AK47" s="139"/>
      <c r="AL47" s="139"/>
      <c r="AM47" s="139"/>
      <c r="AN47" s="139"/>
      <c r="AO47" s="158"/>
      <c r="AP47" s="152"/>
      <c r="AQ47" s="139"/>
      <c r="AR47" s="139"/>
      <c r="AS47" s="139"/>
      <c r="AT47" s="139"/>
      <c r="AU47" s="158"/>
      <c r="AV47" s="152"/>
      <c r="AW47" s="139"/>
      <c r="AX47" s="139"/>
      <c r="AY47" s="139"/>
      <c r="AZ47" s="139"/>
      <c r="BA47" s="158"/>
      <c r="BB47" s="152"/>
      <c r="BC47" s="141"/>
      <c r="BD47" s="141"/>
      <c r="BE47" s="141"/>
      <c r="BF47" s="141"/>
      <c r="BG47" s="158"/>
      <c r="BH47" s="152"/>
      <c r="BI47" s="139"/>
      <c r="BJ47" s="139"/>
      <c r="BK47" s="139"/>
      <c r="BL47" s="139"/>
      <c r="BM47" s="158"/>
      <c r="BN47" s="152"/>
      <c r="BO47" s="141"/>
      <c r="BP47" s="141"/>
      <c r="BQ47" s="141"/>
      <c r="BR47" s="141"/>
      <c r="BS47" s="158"/>
      <c r="BT47" s="152"/>
      <c r="BU47" s="152"/>
      <c r="BV47" s="152"/>
      <c r="BW47" s="152"/>
      <c r="BX47" s="152"/>
      <c r="BY47" s="158"/>
      <c r="BZ47" s="152"/>
      <c r="CA47" s="152"/>
      <c r="CB47" s="152"/>
      <c r="CC47" s="152"/>
      <c r="CD47" s="152"/>
      <c r="CE47" s="158"/>
      <c r="CF47" s="152"/>
      <c r="CG47" s="152"/>
      <c r="CH47" s="152"/>
      <c r="CI47" s="152"/>
      <c r="CJ47" s="152"/>
      <c r="CK47" s="158"/>
      <c r="CL47" s="152"/>
      <c r="CM47" s="152"/>
      <c r="CN47" s="152"/>
      <c r="CO47" s="152"/>
      <c r="CP47" s="152"/>
      <c r="CQ47" s="158"/>
    </row>
    <row r="48" spans="1:95" s="24" customFormat="1" ht="15" x14ac:dyDescent="0.25">
      <c r="B48" s="33"/>
      <c r="C48" s="115" t="b">
        <f>C47=O32</f>
        <v>1</v>
      </c>
      <c r="D48" s="85" t="b">
        <f>D47=$B$32</f>
        <v>1</v>
      </c>
      <c r="E48" s="86" t="b">
        <f ca="1">E47=$AE$33</f>
        <v>1</v>
      </c>
      <c r="F48" s="87" t="b">
        <f ca="1">F47=$AE$32</f>
        <v>1</v>
      </c>
      <c r="G48" s="25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Z48" s="27"/>
      <c r="AA48" s="27"/>
      <c r="AB48" s="21"/>
      <c r="AC48" s="21"/>
      <c r="AD48" s="21"/>
      <c r="AE48" s="21"/>
      <c r="AF48" s="21"/>
      <c r="AG48" s="27"/>
      <c r="AH48" s="26"/>
      <c r="AI48" s="26" t="s">
        <v>68</v>
      </c>
      <c r="AJ48" s="346">
        <f>SUM(AM42:AO44)</f>
        <v>0</v>
      </c>
      <c r="AK48" s="347"/>
      <c r="AL48" s="347"/>
      <c r="AM48" s="347"/>
      <c r="AN48" s="347"/>
      <c r="AO48" s="348"/>
      <c r="AP48" s="346">
        <f t="shared" ref="AP48" si="103">SUM(AS42:AU44)</f>
        <v>0</v>
      </c>
      <c r="AQ48" s="347"/>
      <c r="AR48" s="347"/>
      <c r="AS48" s="347"/>
      <c r="AT48" s="347"/>
      <c r="AU48" s="348"/>
      <c r="AV48" s="346">
        <f t="shared" ref="AV48" si="104">SUM(AY42:BA44)</f>
        <v>0</v>
      </c>
      <c r="AW48" s="347"/>
      <c r="AX48" s="347"/>
      <c r="AY48" s="347"/>
      <c r="AZ48" s="347"/>
      <c r="BA48" s="348"/>
      <c r="BB48" s="346">
        <f t="shared" ref="BB48" si="105">SUM(BE42:BG44)</f>
        <v>0</v>
      </c>
      <c r="BC48" s="347"/>
      <c r="BD48" s="347"/>
      <c r="BE48" s="347"/>
      <c r="BF48" s="347"/>
      <c r="BG48" s="348"/>
      <c r="BH48" s="346">
        <f t="shared" ref="BH48" si="106">SUM(BK42:BM44)</f>
        <v>0</v>
      </c>
      <c r="BI48" s="347"/>
      <c r="BJ48" s="347"/>
      <c r="BK48" s="347"/>
      <c r="BL48" s="347"/>
      <c r="BM48" s="348"/>
      <c r="BN48" s="346">
        <f t="shared" ref="BN48" si="107">SUM(BQ42:BS44)</f>
        <v>0</v>
      </c>
      <c r="BO48" s="347"/>
      <c r="BP48" s="347"/>
      <c r="BQ48" s="347"/>
      <c r="BR48" s="347"/>
      <c r="BS48" s="348"/>
      <c r="BT48" s="346">
        <f t="shared" ref="BT48" si="108">SUM(BW42:BY44)</f>
        <v>0</v>
      </c>
      <c r="BU48" s="347"/>
      <c r="BV48" s="347"/>
      <c r="BW48" s="347"/>
      <c r="BX48" s="347"/>
      <c r="BY48" s="348"/>
      <c r="BZ48" s="346">
        <f t="shared" ref="BZ48" si="109">SUM(CC42:CE44)</f>
        <v>0</v>
      </c>
      <c r="CA48" s="347"/>
      <c r="CB48" s="347"/>
      <c r="CC48" s="347"/>
      <c r="CD48" s="347"/>
      <c r="CE48" s="348"/>
      <c r="CF48" s="346">
        <f t="shared" ref="CF48" si="110">SUM(CI42:CK44)</f>
        <v>0</v>
      </c>
      <c r="CG48" s="347"/>
      <c r="CH48" s="347"/>
      <c r="CI48" s="347"/>
      <c r="CJ48" s="347"/>
      <c r="CK48" s="348"/>
      <c r="CL48" s="346">
        <f t="shared" ref="CL48" si="111">SUM(CO42:CQ44)</f>
        <v>0</v>
      </c>
      <c r="CM48" s="347"/>
      <c r="CN48" s="347"/>
      <c r="CO48" s="347"/>
      <c r="CP48" s="347"/>
      <c r="CQ48" s="348"/>
    </row>
    <row r="49" spans="1:95" s="24" customFormat="1" ht="15" x14ac:dyDescent="0.25">
      <c r="J49" s="25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Y49" s="30"/>
      <c r="Z49" s="31"/>
      <c r="AA49" s="31"/>
      <c r="AB49" s="21"/>
      <c r="AC49" s="21"/>
      <c r="AD49" s="21"/>
      <c r="AE49" s="21"/>
      <c r="AF49" s="21"/>
      <c r="AG49" s="21"/>
      <c r="AH49" s="27"/>
      <c r="AI49" s="26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  <c r="BN49" s="28"/>
      <c r="BO49" s="28"/>
      <c r="BP49" s="28"/>
      <c r="BQ49" s="28"/>
      <c r="BR49" s="28"/>
      <c r="BS49" s="28"/>
      <c r="BT49" s="28"/>
      <c r="BU49" s="28"/>
      <c r="BV49" s="28"/>
      <c r="BW49" s="28"/>
      <c r="BX49" s="28"/>
      <c r="BY49" s="28"/>
      <c r="BZ49" s="28"/>
      <c r="CA49" s="28"/>
      <c r="CB49" s="28"/>
      <c r="CC49" s="28"/>
      <c r="CD49" s="28"/>
      <c r="CE49" s="28"/>
      <c r="CF49" s="28"/>
      <c r="CG49" s="28"/>
      <c r="CH49" s="28"/>
      <c r="CI49" s="28"/>
      <c r="CJ49" s="28"/>
      <c r="CK49" s="28"/>
      <c r="CL49" s="28"/>
      <c r="CM49" s="28"/>
      <c r="CN49" s="28"/>
      <c r="CO49" s="28"/>
      <c r="CP49" s="28"/>
      <c r="CQ49" s="28"/>
    </row>
    <row r="50" spans="1:95" s="30" customFormat="1" ht="14.45" customHeight="1" x14ac:dyDescent="0.25">
      <c r="C50" s="116"/>
      <c r="I50" s="24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Y50" s="52"/>
      <c r="Z50" s="51"/>
      <c r="AA50" s="51"/>
      <c r="AB50" s="21"/>
      <c r="AC50" s="21"/>
      <c r="AD50" s="21"/>
      <c r="AE50" s="46"/>
      <c r="AF50" s="46"/>
      <c r="AG50" s="46"/>
      <c r="AH50" s="46"/>
      <c r="AI50" s="14" t="s">
        <v>69</v>
      </c>
      <c r="AJ50" s="344" t="str">
        <f>AJ9</f>
        <v>VENDOR 1</v>
      </c>
      <c r="AK50" s="344"/>
      <c r="AL50" s="344"/>
      <c r="AM50" s="344"/>
      <c r="AN50" s="344"/>
      <c r="AO50" s="345"/>
      <c r="AP50" s="343" t="str">
        <f>AP9</f>
        <v>VENDOR 2</v>
      </c>
      <c r="AQ50" s="344"/>
      <c r="AR50" s="344"/>
      <c r="AS50" s="344"/>
      <c r="AT50" s="344"/>
      <c r="AU50" s="345"/>
      <c r="AV50" s="343" t="str">
        <f>AV9</f>
        <v>VENDOR 3</v>
      </c>
      <c r="AW50" s="344"/>
      <c r="AX50" s="344"/>
      <c r="AY50" s="344"/>
      <c r="AZ50" s="344"/>
      <c r="BA50" s="345"/>
      <c r="BB50" s="343" t="str">
        <f>BB9</f>
        <v>VENDOR 4</v>
      </c>
      <c r="BC50" s="344"/>
      <c r="BD50" s="344"/>
      <c r="BE50" s="344"/>
      <c r="BF50" s="344"/>
      <c r="BG50" s="345"/>
      <c r="BH50" s="343" t="str">
        <f>BH9</f>
        <v>VENDOR 5</v>
      </c>
      <c r="BI50" s="344"/>
      <c r="BJ50" s="344"/>
      <c r="BK50" s="344"/>
      <c r="BL50" s="344"/>
      <c r="BM50" s="345"/>
      <c r="BN50" s="343" t="str">
        <f>BN9</f>
        <v>VENDOR 6</v>
      </c>
      <c r="BO50" s="344"/>
      <c r="BP50" s="344"/>
      <c r="BQ50" s="344"/>
      <c r="BR50" s="344"/>
      <c r="BS50" s="345"/>
      <c r="BT50" s="343" t="str">
        <f>BT9</f>
        <v>VENDOR 7</v>
      </c>
      <c r="BU50" s="344"/>
      <c r="BV50" s="344"/>
      <c r="BW50" s="344"/>
      <c r="BX50" s="344"/>
      <c r="BY50" s="345"/>
      <c r="BZ50" s="343" t="str">
        <f>BZ9</f>
        <v>VENDOR 8</v>
      </c>
      <c r="CA50" s="344"/>
      <c r="CB50" s="344"/>
      <c r="CC50" s="344"/>
      <c r="CD50" s="344"/>
      <c r="CE50" s="345"/>
      <c r="CF50" s="343" t="str">
        <f>CF9</f>
        <v>VENDOR 9</v>
      </c>
      <c r="CG50" s="344"/>
      <c r="CH50" s="344"/>
      <c r="CI50" s="344"/>
      <c r="CJ50" s="344"/>
      <c r="CK50" s="345"/>
      <c r="CL50" s="343" t="str">
        <f>CL9</f>
        <v>VENDOR 10</v>
      </c>
      <c r="CM50" s="344"/>
      <c r="CN50" s="344"/>
      <c r="CO50" s="344"/>
      <c r="CP50" s="344"/>
      <c r="CQ50" s="345"/>
    </row>
    <row r="51" spans="1:95" s="52" customFormat="1" ht="60" customHeight="1" x14ac:dyDescent="0.25">
      <c r="A51" s="24"/>
      <c r="B51" s="35" t="s">
        <v>71</v>
      </c>
      <c r="C51" s="75" t="s">
        <v>1000</v>
      </c>
      <c r="D51" s="35" t="s">
        <v>56</v>
      </c>
      <c r="E51" s="36" t="s">
        <v>72</v>
      </c>
      <c r="F51" s="36" t="s">
        <v>73</v>
      </c>
      <c r="H51" s="97" t="s">
        <v>946</v>
      </c>
      <c r="I51" s="253" t="s">
        <v>1000</v>
      </c>
      <c r="J51" s="97" t="s">
        <v>56</v>
      </c>
      <c r="K51" s="219" t="s">
        <v>72</v>
      </c>
      <c r="L51" s="219" t="s">
        <v>73</v>
      </c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Y51" s="51"/>
      <c r="Z51" s="51"/>
      <c r="AB51" s="21"/>
      <c r="AC51" s="21"/>
      <c r="AD51" s="21"/>
      <c r="AE51" s="21"/>
      <c r="AF51" s="21"/>
      <c r="AI51" s="51" t="s">
        <v>70</v>
      </c>
      <c r="AJ51" s="350"/>
      <c r="AK51" s="277"/>
      <c r="AL51" s="277"/>
      <c r="AM51" s="277"/>
      <c r="AN51" s="277"/>
      <c r="AO51" s="278"/>
      <c r="AP51" s="277"/>
      <c r="AQ51" s="277"/>
      <c r="AR51" s="277"/>
      <c r="AS51" s="277"/>
      <c r="AT51" s="277"/>
      <c r="AU51" s="278"/>
      <c r="AV51" s="277"/>
      <c r="AW51" s="277"/>
      <c r="AX51" s="277"/>
      <c r="AY51" s="277"/>
      <c r="AZ51" s="277"/>
      <c r="BA51" s="278"/>
      <c r="BB51" s="277"/>
      <c r="BC51" s="277"/>
      <c r="BD51" s="277"/>
      <c r="BE51" s="277"/>
      <c r="BF51" s="277"/>
      <c r="BG51" s="278"/>
      <c r="BH51" s="277"/>
      <c r="BI51" s="277"/>
      <c r="BJ51" s="277"/>
      <c r="BK51" s="277"/>
      <c r="BL51" s="277"/>
      <c r="BM51" s="278"/>
      <c r="BN51" s="277"/>
      <c r="BO51" s="277"/>
      <c r="BP51" s="277"/>
      <c r="BQ51" s="277"/>
      <c r="BR51" s="277"/>
      <c r="BS51" s="278"/>
      <c r="BT51" s="277"/>
      <c r="BU51" s="277"/>
      <c r="BV51" s="277"/>
      <c r="BW51" s="277"/>
      <c r="BX51" s="277"/>
      <c r="BY51" s="278"/>
      <c r="BZ51" s="277"/>
      <c r="CA51" s="277"/>
      <c r="CB51" s="277"/>
      <c r="CC51" s="277"/>
      <c r="CD51" s="277"/>
      <c r="CE51" s="278"/>
      <c r="CF51" s="277"/>
      <c r="CG51" s="277"/>
      <c r="CH51" s="277"/>
      <c r="CI51" s="277"/>
      <c r="CJ51" s="277"/>
      <c r="CK51" s="278"/>
      <c r="CL51" s="277"/>
      <c r="CM51" s="277"/>
      <c r="CN51" s="277"/>
      <c r="CO51" s="277"/>
      <c r="CP51" s="277"/>
      <c r="CQ51" s="278"/>
    </row>
    <row r="52" spans="1:95" s="52" customFormat="1" ht="14.45" customHeight="1" x14ac:dyDescent="0.25">
      <c r="A52" s="33"/>
      <c r="B52" s="243">
        <v>1</v>
      </c>
      <c r="C52" s="82">
        <f>SUMIF($R$11:$R$30,B52,$O$11:$O$30)</f>
        <v>0</v>
      </c>
      <c r="D52" s="83">
        <f>COUNTIF($R$11:$R$30,B52)</f>
        <v>0</v>
      </c>
      <c r="E52" s="79" t="str">
        <f>IFERROR(C52/$C$56,"")</f>
        <v/>
      </c>
      <c r="F52" s="79" t="str">
        <f>IFERROR(D52/$D$56,"")</f>
        <v/>
      </c>
      <c r="H52" s="254" t="s">
        <v>86</v>
      </c>
      <c r="I52" s="255">
        <f ca="1">SUMIF($AF$11:$AF$30,H52,$O$11:$O$30)</f>
        <v>0</v>
      </c>
      <c r="J52" s="256">
        <f ca="1">COUNTIF($AF$11:$AF$30,H52)</f>
        <v>0</v>
      </c>
      <c r="K52" s="257" t="str">
        <f t="shared" ref="K52:K54" ca="1" si="112">IFERROR(I52/$I$55,"")</f>
        <v/>
      </c>
      <c r="L52" s="257" t="str">
        <f ca="1">IFERROR(J52/$J$55,"")</f>
        <v/>
      </c>
      <c r="M52" s="51"/>
      <c r="N52" s="51"/>
      <c r="O52" s="51"/>
      <c r="P52" s="51"/>
      <c r="Q52" s="51"/>
      <c r="R52" s="51"/>
      <c r="S52" s="51"/>
      <c r="T52" s="51"/>
      <c r="U52" s="51"/>
      <c r="V52" s="51"/>
      <c r="AB52" s="21"/>
      <c r="AC52" s="21"/>
      <c r="AD52" s="21"/>
      <c r="AE52" s="21"/>
      <c r="AF52" s="21"/>
      <c r="AG52" s="51"/>
      <c r="AH52" s="51"/>
      <c r="AI52" s="51" t="s">
        <v>74</v>
      </c>
      <c r="AJ52" s="349" t="s">
        <v>771</v>
      </c>
      <c r="AK52" s="277"/>
      <c r="AL52" s="277"/>
      <c r="AM52" s="277"/>
      <c r="AN52" s="277"/>
      <c r="AO52" s="278"/>
      <c r="AP52" s="277"/>
      <c r="AQ52" s="277"/>
      <c r="AR52" s="277"/>
      <c r="AS52" s="277"/>
      <c r="AT52" s="277"/>
      <c r="AU52" s="278"/>
      <c r="AV52" s="277"/>
      <c r="AW52" s="277"/>
      <c r="AX52" s="277"/>
      <c r="AY52" s="277"/>
      <c r="AZ52" s="277"/>
      <c r="BA52" s="278"/>
      <c r="BB52" s="277" t="s">
        <v>771</v>
      </c>
      <c r="BC52" s="277"/>
      <c r="BD52" s="277"/>
      <c r="BE52" s="277"/>
      <c r="BF52" s="277"/>
      <c r="BG52" s="278"/>
      <c r="BH52" s="277" t="s">
        <v>771</v>
      </c>
      <c r="BI52" s="277"/>
      <c r="BJ52" s="277"/>
      <c r="BK52" s="277"/>
      <c r="BL52" s="277"/>
      <c r="BM52" s="278"/>
      <c r="BN52" s="277" t="s">
        <v>771</v>
      </c>
      <c r="BO52" s="277"/>
      <c r="BP52" s="277"/>
      <c r="BQ52" s="277"/>
      <c r="BR52" s="277"/>
      <c r="BS52" s="278"/>
      <c r="BT52" s="277" t="s">
        <v>771</v>
      </c>
      <c r="BU52" s="277"/>
      <c r="BV52" s="277"/>
      <c r="BW52" s="277"/>
      <c r="BX52" s="277"/>
      <c r="BY52" s="278"/>
      <c r="BZ52" s="277" t="s">
        <v>771</v>
      </c>
      <c r="CA52" s="277"/>
      <c r="CB52" s="277"/>
      <c r="CC52" s="277"/>
      <c r="CD52" s="277"/>
      <c r="CE52" s="278"/>
      <c r="CF52" s="277" t="s">
        <v>771</v>
      </c>
      <c r="CG52" s="277"/>
      <c r="CH52" s="277"/>
      <c r="CI52" s="277"/>
      <c r="CJ52" s="277"/>
      <c r="CK52" s="278"/>
      <c r="CL52" s="277" t="s">
        <v>771</v>
      </c>
      <c r="CM52" s="277"/>
      <c r="CN52" s="277"/>
      <c r="CO52" s="277"/>
      <c r="CP52" s="277"/>
      <c r="CQ52" s="278"/>
    </row>
    <row r="53" spans="1:95" s="33" customFormat="1" ht="14.45" customHeight="1" x14ac:dyDescent="0.25">
      <c r="B53" s="243">
        <v>2</v>
      </c>
      <c r="C53" s="82">
        <f t="shared" ref="C53:C54" si="113">SUMIF($R$11:$R$30,B53,$O$11:$O$30)</f>
        <v>0</v>
      </c>
      <c r="D53" s="83">
        <f>COUNTIF($R$11:$R$30,B53)</f>
        <v>0</v>
      </c>
      <c r="E53" s="79" t="str">
        <f t="shared" ref="E53:E55" si="114">IFERROR(C53/$C$56,"")</f>
        <v/>
      </c>
      <c r="F53" s="79" t="str">
        <f t="shared" ref="F53:F55" si="115">IFERROR(D53/$D$56,"")</f>
        <v/>
      </c>
      <c r="H53" s="254" t="s">
        <v>29</v>
      </c>
      <c r="I53" s="255">
        <f t="shared" ref="I53" ca="1" si="116">SUMIF($AF$11:$AF$30,H53,$O$11:$O$30)</f>
        <v>0</v>
      </c>
      <c r="J53" s="256">
        <f t="shared" ref="J53:J54" ca="1" si="117">COUNTIF($AF$11:$AF$30,H53)</f>
        <v>0</v>
      </c>
      <c r="K53" s="257" t="str">
        <f t="shared" ca="1" si="112"/>
        <v/>
      </c>
      <c r="L53" s="257" t="str">
        <f t="shared" ref="L53:L54" ca="1" si="118">IFERROR(J53/$J$55,"")</f>
        <v/>
      </c>
      <c r="M53" s="32"/>
      <c r="N53" s="32"/>
      <c r="O53" s="32"/>
      <c r="P53" s="32"/>
      <c r="Q53" s="32"/>
      <c r="R53" s="32"/>
      <c r="S53" s="32"/>
      <c r="T53" s="32"/>
      <c r="U53" s="32"/>
      <c r="V53" s="32"/>
      <c r="Y53" s="32"/>
      <c r="Z53" s="32"/>
      <c r="AB53" s="21"/>
      <c r="AC53" s="21"/>
      <c r="AD53" s="21"/>
      <c r="AE53" s="21"/>
      <c r="AF53" s="21"/>
      <c r="AG53" s="51"/>
      <c r="AH53" s="51"/>
      <c r="AI53" s="32" t="s">
        <v>75</v>
      </c>
      <c r="AJ53" s="283" t="s">
        <v>771</v>
      </c>
      <c r="AK53" s="275"/>
      <c r="AL53" s="275"/>
      <c r="AM53" s="275"/>
      <c r="AN53" s="275"/>
      <c r="AO53" s="276"/>
      <c r="AP53" s="284"/>
      <c r="AQ53" s="284"/>
      <c r="AR53" s="284"/>
      <c r="AS53" s="284"/>
      <c r="AT53" s="284"/>
      <c r="AU53" s="285"/>
      <c r="AV53" s="282"/>
      <c r="AW53" s="275"/>
      <c r="AX53" s="275"/>
      <c r="AY53" s="275"/>
      <c r="AZ53" s="275"/>
      <c r="BA53" s="276"/>
      <c r="BB53" s="275" t="s">
        <v>771</v>
      </c>
      <c r="BC53" s="275"/>
      <c r="BD53" s="275"/>
      <c r="BE53" s="275"/>
      <c r="BF53" s="275"/>
      <c r="BG53" s="276"/>
      <c r="BH53" s="275" t="s">
        <v>771</v>
      </c>
      <c r="BI53" s="275"/>
      <c r="BJ53" s="275"/>
      <c r="BK53" s="275"/>
      <c r="BL53" s="275"/>
      <c r="BM53" s="276"/>
      <c r="BN53" s="284" t="s">
        <v>771</v>
      </c>
      <c r="BO53" s="284"/>
      <c r="BP53" s="284"/>
      <c r="BQ53" s="284"/>
      <c r="BR53" s="284"/>
      <c r="BS53" s="285"/>
      <c r="BT53" s="284" t="s">
        <v>771</v>
      </c>
      <c r="BU53" s="284"/>
      <c r="BV53" s="284"/>
      <c r="BW53" s="284"/>
      <c r="BX53" s="284"/>
      <c r="BY53" s="285"/>
      <c r="BZ53" s="284" t="s">
        <v>771</v>
      </c>
      <c r="CA53" s="284"/>
      <c r="CB53" s="284"/>
      <c r="CC53" s="284"/>
      <c r="CD53" s="284"/>
      <c r="CE53" s="285"/>
      <c r="CF53" s="284" t="s">
        <v>771</v>
      </c>
      <c r="CG53" s="284"/>
      <c r="CH53" s="284"/>
      <c r="CI53" s="284"/>
      <c r="CJ53" s="284"/>
      <c r="CK53" s="285"/>
      <c r="CL53" s="284" t="s">
        <v>771</v>
      </c>
      <c r="CM53" s="284"/>
      <c r="CN53" s="284"/>
      <c r="CO53" s="284"/>
      <c r="CP53" s="284"/>
      <c r="CQ53" s="285"/>
    </row>
    <row r="54" spans="1:95" s="33" customFormat="1" ht="14.45" customHeight="1" x14ac:dyDescent="0.25">
      <c r="B54" s="243">
        <v>3</v>
      </c>
      <c r="C54" s="82">
        <f t="shared" si="113"/>
        <v>0</v>
      </c>
      <c r="D54" s="83">
        <f>COUNTIF($R$11:$R$30,B54)</f>
        <v>0</v>
      </c>
      <c r="E54" s="79" t="str">
        <f t="shared" si="114"/>
        <v/>
      </c>
      <c r="F54" s="79" t="str">
        <f t="shared" si="115"/>
        <v/>
      </c>
      <c r="H54" s="254" t="s">
        <v>944</v>
      </c>
      <c r="I54" s="255">
        <f ca="1">SUMIF($AF$11:$AF$30,H54,$O$11:$O$30)</f>
        <v>0</v>
      </c>
      <c r="J54" s="256">
        <f t="shared" ca="1" si="117"/>
        <v>0</v>
      </c>
      <c r="K54" s="257" t="str">
        <f t="shared" ca="1" si="112"/>
        <v/>
      </c>
      <c r="L54" s="257" t="str">
        <f t="shared" ca="1" si="118"/>
        <v/>
      </c>
      <c r="M54" s="32"/>
      <c r="N54" s="32"/>
      <c r="O54" s="32"/>
      <c r="P54" s="32"/>
      <c r="Q54" s="32"/>
      <c r="R54" s="32"/>
      <c r="S54" s="32"/>
      <c r="T54" s="32"/>
      <c r="U54" s="32"/>
      <c r="V54" s="32"/>
      <c r="Y54" s="32"/>
      <c r="Z54" s="32"/>
      <c r="AB54" s="21"/>
      <c r="AC54" s="21"/>
      <c r="AD54" s="21"/>
      <c r="AE54" s="21"/>
      <c r="AF54" s="21"/>
      <c r="AG54" s="32"/>
      <c r="AH54" s="32"/>
      <c r="AI54" s="32" t="s">
        <v>76</v>
      </c>
      <c r="AJ54" s="279"/>
      <c r="AK54" s="275"/>
      <c r="AL54" s="275"/>
      <c r="AM54" s="275"/>
      <c r="AN54" s="275"/>
      <c r="AO54" s="276"/>
      <c r="AP54" s="275"/>
      <c r="AQ54" s="275"/>
      <c r="AR54" s="275"/>
      <c r="AS54" s="275"/>
      <c r="AT54" s="275"/>
      <c r="AU54" s="276"/>
      <c r="AV54" s="275"/>
      <c r="AW54" s="275"/>
      <c r="AX54" s="275"/>
      <c r="AY54" s="275"/>
      <c r="AZ54" s="275"/>
      <c r="BA54" s="276"/>
      <c r="BB54" s="275"/>
      <c r="BC54" s="275"/>
      <c r="BD54" s="275"/>
      <c r="BE54" s="275"/>
      <c r="BF54" s="275"/>
      <c r="BG54" s="276"/>
      <c r="BH54" s="275"/>
      <c r="BI54" s="275"/>
      <c r="BJ54" s="275"/>
      <c r="BK54" s="275"/>
      <c r="BL54" s="275"/>
      <c r="BM54" s="276"/>
      <c r="BN54" s="275"/>
      <c r="BO54" s="275"/>
      <c r="BP54" s="275"/>
      <c r="BQ54" s="275"/>
      <c r="BR54" s="275"/>
      <c r="BS54" s="276"/>
      <c r="BT54" s="275"/>
      <c r="BU54" s="275"/>
      <c r="BV54" s="275"/>
      <c r="BW54" s="275"/>
      <c r="BX54" s="275"/>
      <c r="BY54" s="276"/>
      <c r="BZ54" s="275"/>
      <c r="CA54" s="275"/>
      <c r="CB54" s="275"/>
      <c r="CC54" s="275"/>
      <c r="CD54" s="275"/>
      <c r="CE54" s="276"/>
      <c r="CF54" s="275"/>
      <c r="CG54" s="275"/>
      <c r="CH54" s="275"/>
      <c r="CI54" s="275"/>
      <c r="CJ54" s="275"/>
      <c r="CK54" s="276"/>
      <c r="CL54" s="275"/>
      <c r="CM54" s="275"/>
      <c r="CN54" s="275"/>
      <c r="CO54" s="275"/>
      <c r="CP54" s="275"/>
      <c r="CQ54" s="276"/>
    </row>
    <row r="55" spans="1:95" s="33" customFormat="1" ht="14.45" customHeight="1" x14ac:dyDescent="0.25">
      <c r="B55" s="243" t="s">
        <v>111</v>
      </c>
      <c r="C55" s="82">
        <f>SUMIF($R$11:$R$30,"&gt;="&amp;4,$O$11:$O$30)</f>
        <v>0</v>
      </c>
      <c r="D55" s="83">
        <f>COUNTIF($R$11:$R$30,"&gt;="&amp;4)</f>
        <v>0</v>
      </c>
      <c r="E55" s="79" t="str">
        <f t="shared" si="114"/>
        <v/>
      </c>
      <c r="F55" s="79" t="str">
        <f t="shared" si="115"/>
        <v/>
      </c>
      <c r="H55" s="258" t="s">
        <v>64</v>
      </c>
      <c r="I55" s="259">
        <f ca="1">ROUNDUP(SUM(I51:I54),2)</f>
        <v>0</v>
      </c>
      <c r="J55" s="260">
        <f ca="1">SUM(J51:J54)</f>
        <v>0</v>
      </c>
      <c r="K55" s="261">
        <f ca="1">SUM(K51:K54)</f>
        <v>0</v>
      </c>
      <c r="L55" s="261">
        <f ca="1">SUM(L51:L54)</f>
        <v>0</v>
      </c>
      <c r="M55" s="32"/>
      <c r="N55" s="32"/>
      <c r="O55" s="32"/>
      <c r="P55" s="32"/>
      <c r="Q55" s="32"/>
      <c r="R55" s="32"/>
      <c r="S55" s="32"/>
      <c r="T55" s="32"/>
      <c r="U55" s="32"/>
      <c r="V55" s="32"/>
      <c r="Y55" s="32"/>
      <c r="Z55" s="32"/>
      <c r="AB55" s="21"/>
      <c r="AC55" s="21"/>
      <c r="AD55" s="21"/>
      <c r="AE55" s="21"/>
      <c r="AF55" s="21"/>
      <c r="AG55" s="32"/>
      <c r="AH55" s="32"/>
      <c r="AI55" s="32" t="s">
        <v>77</v>
      </c>
      <c r="AJ55" s="279"/>
      <c r="AK55" s="275"/>
      <c r="AL55" s="275"/>
      <c r="AM55" s="275"/>
      <c r="AN55" s="275"/>
      <c r="AO55" s="276"/>
      <c r="AP55" s="275"/>
      <c r="AQ55" s="275"/>
      <c r="AR55" s="275"/>
      <c r="AS55" s="275"/>
      <c r="AT55" s="275"/>
      <c r="AU55" s="276"/>
      <c r="AV55" s="275"/>
      <c r="AW55" s="275"/>
      <c r="AX55" s="275"/>
      <c r="AY55" s="275"/>
      <c r="AZ55" s="275"/>
      <c r="BA55" s="276"/>
      <c r="BB55" s="275"/>
      <c r="BC55" s="275"/>
      <c r="BD55" s="275"/>
      <c r="BE55" s="275"/>
      <c r="BF55" s="275"/>
      <c r="BG55" s="276"/>
      <c r="BH55" s="275"/>
      <c r="BI55" s="275"/>
      <c r="BJ55" s="275"/>
      <c r="BK55" s="275"/>
      <c r="BL55" s="275"/>
      <c r="BM55" s="276"/>
      <c r="BN55" s="275"/>
      <c r="BO55" s="275"/>
      <c r="BP55" s="275"/>
      <c r="BQ55" s="275"/>
      <c r="BR55" s="275"/>
      <c r="BS55" s="276"/>
      <c r="BT55" s="275"/>
      <c r="BU55" s="275"/>
      <c r="BV55" s="275"/>
      <c r="BW55" s="275"/>
      <c r="BX55" s="275"/>
      <c r="BY55" s="276"/>
      <c r="BZ55" s="275"/>
      <c r="CA55" s="275"/>
      <c r="CB55" s="275"/>
      <c r="CC55" s="275"/>
      <c r="CD55" s="275"/>
      <c r="CE55" s="276"/>
      <c r="CF55" s="275"/>
      <c r="CG55" s="275"/>
      <c r="CH55" s="275"/>
      <c r="CI55" s="275"/>
      <c r="CJ55" s="275"/>
      <c r="CK55" s="276"/>
      <c r="CL55" s="275"/>
      <c r="CM55" s="275"/>
      <c r="CN55" s="275"/>
      <c r="CO55" s="275"/>
      <c r="CP55" s="275"/>
      <c r="CQ55" s="276"/>
    </row>
    <row r="56" spans="1:95" s="33" customFormat="1" ht="14.45" customHeight="1" x14ac:dyDescent="0.25">
      <c r="B56" s="220" t="s">
        <v>64</v>
      </c>
      <c r="C56" s="117">
        <f>ROUNDUP(SUM(C52:C55),2)</f>
        <v>0</v>
      </c>
      <c r="D56" s="77">
        <f>SUM(D52:D55)</f>
        <v>0</v>
      </c>
      <c r="E56" s="54">
        <f>SUM(E52:E55)</f>
        <v>0</v>
      </c>
      <c r="F56" s="54">
        <f>SUM(F52:F55)</f>
        <v>0</v>
      </c>
      <c r="H56" s="262"/>
      <c r="I56" s="263" t="b">
        <f ca="1">I55=$C$47</f>
        <v>1</v>
      </c>
      <c r="J56" s="264" t="b">
        <f ca="1">J55=$D$47</f>
        <v>1</v>
      </c>
      <c r="K56" s="262"/>
      <c r="L56" s="262"/>
      <c r="M56" s="32"/>
      <c r="N56" s="32"/>
      <c r="O56" s="32"/>
      <c r="P56" s="32"/>
      <c r="Q56" s="32"/>
      <c r="R56" s="32"/>
      <c r="S56" s="32"/>
      <c r="T56" s="32"/>
      <c r="U56" s="32"/>
      <c r="V56" s="32"/>
      <c r="Y56" s="32"/>
      <c r="Z56" s="32"/>
      <c r="AB56" s="32"/>
      <c r="AC56" s="32"/>
      <c r="AD56" s="32"/>
      <c r="AE56" s="32"/>
      <c r="AF56" s="32"/>
      <c r="AG56" s="32"/>
      <c r="AH56" s="32"/>
      <c r="AI56" s="32" t="s">
        <v>335</v>
      </c>
      <c r="AJ56" s="279"/>
      <c r="AK56" s="275"/>
      <c r="AL56" s="275"/>
      <c r="AM56" s="275"/>
      <c r="AN56" s="275"/>
      <c r="AO56" s="276"/>
      <c r="AP56" s="275"/>
      <c r="AQ56" s="275"/>
      <c r="AR56" s="275"/>
      <c r="AS56" s="275"/>
      <c r="AT56" s="275"/>
      <c r="AU56" s="276"/>
      <c r="AV56" s="275"/>
      <c r="AW56" s="275"/>
      <c r="AX56" s="275"/>
      <c r="AY56" s="275"/>
      <c r="AZ56" s="275"/>
      <c r="BA56" s="276"/>
      <c r="BB56" s="275"/>
      <c r="BC56" s="275"/>
      <c r="BD56" s="275"/>
      <c r="BE56" s="275"/>
      <c r="BF56" s="275"/>
      <c r="BG56" s="276"/>
      <c r="BH56" s="275"/>
      <c r="BI56" s="275"/>
      <c r="BJ56" s="275"/>
      <c r="BK56" s="275"/>
      <c r="BL56" s="275"/>
      <c r="BM56" s="276"/>
      <c r="BN56" s="275"/>
      <c r="BO56" s="275"/>
      <c r="BP56" s="275"/>
      <c r="BQ56" s="275"/>
      <c r="BR56" s="275"/>
      <c r="BS56" s="276"/>
      <c r="BT56" s="275"/>
      <c r="BU56" s="275"/>
      <c r="BV56" s="275"/>
      <c r="BW56" s="275"/>
      <c r="BX56" s="275"/>
      <c r="BY56" s="276"/>
      <c r="BZ56" s="275"/>
      <c r="CA56" s="275"/>
      <c r="CB56" s="275"/>
      <c r="CC56" s="275"/>
      <c r="CD56" s="275"/>
      <c r="CE56" s="276"/>
      <c r="CF56" s="275"/>
      <c r="CG56" s="275"/>
      <c r="CH56" s="275"/>
      <c r="CI56" s="275"/>
      <c r="CJ56" s="275"/>
      <c r="CK56" s="276"/>
      <c r="CL56" s="275"/>
      <c r="CM56" s="275"/>
      <c r="CN56" s="275"/>
      <c r="CO56" s="275"/>
      <c r="CP56" s="275"/>
      <c r="CQ56" s="276"/>
    </row>
    <row r="57" spans="1:95" s="33" customFormat="1" ht="14.45" customHeight="1" x14ac:dyDescent="0.25">
      <c r="C57" s="84" t="b">
        <f>C56=$C$47</f>
        <v>1</v>
      </c>
      <c r="D57" s="85" t="b">
        <f>D56=$D$47</f>
        <v>1</v>
      </c>
      <c r="E57" s="38"/>
      <c r="F57" s="38"/>
      <c r="H57" s="254" t="s">
        <v>947</v>
      </c>
      <c r="I57" s="255">
        <f ca="1">SUM(I52:I53)</f>
        <v>0</v>
      </c>
      <c r="J57" s="256">
        <f ca="1">SUM(J52:J53)</f>
        <v>0</v>
      </c>
      <c r="K57" s="257" t="str">
        <f ca="1">IFERROR(I57/$I$55,"")</f>
        <v/>
      </c>
      <c r="L57" s="257" t="str">
        <f ca="1">IFERROR(J57/$J$55,"")</f>
        <v/>
      </c>
      <c r="M57" s="32"/>
      <c r="N57" s="32"/>
      <c r="O57" s="32"/>
      <c r="P57" s="32"/>
      <c r="Q57" s="32"/>
      <c r="R57" s="32"/>
      <c r="S57" s="32"/>
      <c r="T57" s="32"/>
      <c r="U57" s="32"/>
      <c r="V57" s="32"/>
      <c r="Y57" s="32"/>
      <c r="Z57" s="32"/>
      <c r="AB57" s="32"/>
      <c r="AC57" s="32"/>
      <c r="AD57" s="32"/>
      <c r="AE57" s="32"/>
      <c r="AF57" s="32"/>
      <c r="AG57" s="32"/>
      <c r="AH57" s="32"/>
      <c r="AI57" s="32" t="s">
        <v>336</v>
      </c>
      <c r="AJ57" s="313"/>
      <c r="AK57" s="275"/>
      <c r="AL57" s="275"/>
      <c r="AM57" s="275"/>
      <c r="AN57" s="275"/>
      <c r="AO57" s="276"/>
      <c r="AP57" s="284"/>
      <c r="AQ57" s="284"/>
      <c r="AR57" s="284"/>
      <c r="AS57" s="284"/>
      <c r="AT57" s="284"/>
      <c r="AU57" s="285"/>
      <c r="AV57" s="284"/>
      <c r="AW57" s="284"/>
      <c r="AX57" s="284"/>
      <c r="AY57" s="284"/>
      <c r="AZ57" s="284"/>
      <c r="BA57" s="285"/>
      <c r="BB57" s="282"/>
      <c r="BC57" s="275"/>
      <c r="BD57" s="275"/>
      <c r="BE57" s="275"/>
      <c r="BF57" s="275"/>
      <c r="BG57" s="276"/>
      <c r="BH57" s="282"/>
      <c r="BI57" s="275"/>
      <c r="BJ57" s="275"/>
      <c r="BK57" s="275"/>
      <c r="BL57" s="275"/>
      <c r="BM57" s="276"/>
      <c r="BN57" s="282"/>
      <c r="BO57" s="275"/>
      <c r="BP57" s="275"/>
      <c r="BQ57" s="275"/>
      <c r="BR57" s="275"/>
      <c r="BS57" s="276"/>
      <c r="BT57" s="282"/>
      <c r="BU57" s="275"/>
      <c r="BV57" s="275"/>
      <c r="BW57" s="275"/>
      <c r="BX57" s="275"/>
      <c r="BY57" s="276"/>
      <c r="BZ57" s="282"/>
      <c r="CA57" s="275"/>
      <c r="CB57" s="275"/>
      <c r="CC57" s="275"/>
      <c r="CD57" s="275"/>
      <c r="CE57" s="276"/>
      <c r="CF57" s="282"/>
      <c r="CG57" s="275"/>
      <c r="CH57" s="275"/>
      <c r="CI57" s="275"/>
      <c r="CJ57" s="275"/>
      <c r="CK57" s="276"/>
      <c r="CL57" s="282"/>
      <c r="CM57" s="275"/>
      <c r="CN57" s="275"/>
      <c r="CO57" s="275"/>
      <c r="CP57" s="275"/>
      <c r="CQ57" s="276"/>
    </row>
    <row r="58" spans="1:95" ht="15" x14ac:dyDescent="0.25">
      <c r="A58" s="15"/>
      <c r="B58" s="15"/>
      <c r="C58" s="16"/>
      <c r="D58" s="16"/>
      <c r="E58" s="16"/>
      <c r="F58" s="16"/>
      <c r="G58" s="16"/>
      <c r="H58" s="17"/>
      <c r="I58" s="17"/>
      <c r="J58" s="17"/>
      <c r="K58" s="17"/>
      <c r="L58" s="17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34"/>
      <c r="AD58" s="34"/>
      <c r="AE58" s="34"/>
      <c r="AF58" s="34"/>
      <c r="AG58" s="34"/>
      <c r="AH58" s="34"/>
      <c r="AI58" s="32" t="s">
        <v>78</v>
      </c>
      <c r="AJ58" s="314" t="s">
        <v>79</v>
      </c>
      <c r="AK58" s="289"/>
      <c r="AL58" s="289"/>
      <c r="AM58" s="289"/>
      <c r="AN58" s="289"/>
      <c r="AO58" s="290"/>
      <c r="AP58" s="289" t="s">
        <v>79</v>
      </c>
      <c r="AQ58" s="289"/>
      <c r="AR58" s="289"/>
      <c r="AS58" s="289"/>
      <c r="AT58" s="289"/>
      <c r="AU58" s="290"/>
      <c r="AV58" s="289" t="s">
        <v>79</v>
      </c>
      <c r="AW58" s="289"/>
      <c r="AX58" s="289"/>
      <c r="AY58" s="289"/>
      <c r="AZ58" s="289"/>
      <c r="BA58" s="290"/>
      <c r="BB58" s="289"/>
      <c r="BC58" s="289"/>
      <c r="BD58" s="289"/>
      <c r="BE58" s="289"/>
      <c r="BF58" s="289"/>
      <c r="BG58" s="290"/>
      <c r="BH58" s="289"/>
      <c r="BI58" s="289"/>
      <c r="BJ58" s="289"/>
      <c r="BK58" s="289"/>
      <c r="BL58" s="289"/>
      <c r="BM58" s="290"/>
      <c r="BN58" s="289"/>
      <c r="BO58" s="289"/>
      <c r="BP58" s="289"/>
      <c r="BQ58" s="289"/>
      <c r="BR58" s="289"/>
      <c r="BS58" s="290"/>
      <c r="BT58" s="289"/>
      <c r="BU58" s="289"/>
      <c r="BV58" s="289"/>
      <c r="BW58" s="289"/>
      <c r="BX58" s="289"/>
      <c r="BY58" s="290"/>
      <c r="BZ58" s="289"/>
      <c r="CA58" s="289"/>
      <c r="CB58" s="289"/>
      <c r="CC58" s="289"/>
      <c r="CD58" s="289"/>
      <c r="CE58" s="290"/>
      <c r="CF58" s="289"/>
      <c r="CG58" s="289"/>
      <c r="CH58" s="289"/>
      <c r="CI58" s="289"/>
      <c r="CJ58" s="289"/>
      <c r="CK58" s="290"/>
      <c r="CL58" s="289"/>
      <c r="CM58" s="289"/>
      <c r="CN58" s="289"/>
      <c r="CO58" s="289"/>
      <c r="CP58" s="289"/>
      <c r="CQ58" s="290"/>
    </row>
    <row r="59" spans="1:95" s="39" customFormat="1" ht="15" customHeight="1" x14ac:dyDescent="0.25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9"/>
      <c r="AA59" s="55"/>
      <c r="AB59" s="55"/>
      <c r="AC59" s="55"/>
      <c r="AD59" s="55"/>
      <c r="AE59" s="55"/>
      <c r="AF59" s="55"/>
      <c r="AG59" s="55"/>
      <c r="AH59" s="55"/>
      <c r="AI59" s="32" t="s">
        <v>80</v>
      </c>
      <c r="AJ59" s="190"/>
      <c r="AK59" s="188"/>
      <c r="AL59" s="188"/>
      <c r="AM59" s="188"/>
      <c r="AN59" s="188"/>
      <c r="AO59" s="189"/>
      <c r="AP59" s="186"/>
      <c r="AQ59" s="186"/>
      <c r="AR59" s="186"/>
      <c r="AS59" s="186"/>
      <c r="AT59" s="186"/>
      <c r="AU59" s="187"/>
      <c r="AV59" s="188"/>
      <c r="AW59" s="188"/>
      <c r="AX59" s="188"/>
      <c r="AY59" s="188"/>
      <c r="AZ59" s="188"/>
      <c r="BA59" s="189"/>
      <c r="BB59" s="188"/>
      <c r="BC59" s="188"/>
      <c r="BD59" s="188"/>
      <c r="BE59" s="188"/>
      <c r="BF59" s="188"/>
      <c r="BG59" s="189"/>
      <c r="BH59" s="188"/>
      <c r="BI59" s="188"/>
      <c r="BJ59" s="188"/>
      <c r="BK59" s="188"/>
      <c r="BL59" s="188"/>
      <c r="BM59" s="189"/>
      <c r="BN59" s="188"/>
      <c r="BO59" s="188"/>
      <c r="BP59" s="188"/>
      <c r="BQ59" s="188"/>
      <c r="BR59" s="188"/>
      <c r="BS59" s="189"/>
      <c r="BT59" s="188"/>
      <c r="BU59" s="188"/>
      <c r="BV59" s="188"/>
      <c r="BW59" s="188"/>
      <c r="BX59" s="188"/>
      <c r="BY59" s="189"/>
      <c r="BZ59" s="188"/>
      <c r="CA59" s="188"/>
      <c r="CB59" s="188"/>
      <c r="CC59" s="188"/>
      <c r="CD59" s="188"/>
      <c r="CE59" s="189"/>
      <c r="CF59" s="188"/>
      <c r="CG59" s="188"/>
      <c r="CH59" s="188"/>
      <c r="CI59" s="188"/>
      <c r="CJ59" s="188"/>
      <c r="CK59" s="189"/>
      <c r="CL59" s="188"/>
      <c r="CM59" s="188"/>
      <c r="CN59" s="188"/>
      <c r="CO59" s="188"/>
      <c r="CP59" s="188"/>
      <c r="CQ59" s="189"/>
    </row>
    <row r="60" spans="1:95" s="39" customFormat="1" ht="15" customHeight="1" x14ac:dyDescent="0.25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9"/>
      <c r="AA60" s="55"/>
      <c r="AB60" s="55"/>
      <c r="AC60" s="55"/>
      <c r="AD60" s="55"/>
      <c r="AE60" s="55"/>
      <c r="AF60" s="55"/>
      <c r="AG60" s="55"/>
      <c r="AH60" s="55"/>
      <c r="AI60" s="32"/>
      <c r="AJ60" s="188"/>
      <c r="AK60" s="188"/>
      <c r="AL60" s="188"/>
      <c r="AM60" s="188"/>
      <c r="AN60" s="188"/>
      <c r="AO60" s="191"/>
      <c r="AP60" s="192"/>
      <c r="AQ60" s="192"/>
      <c r="AR60" s="192"/>
      <c r="AS60" s="192"/>
      <c r="AT60" s="192"/>
      <c r="AU60" s="192"/>
      <c r="AV60" s="191"/>
      <c r="AW60" s="191"/>
      <c r="AX60" s="191"/>
      <c r="AY60" s="191"/>
      <c r="AZ60" s="191"/>
      <c r="BA60" s="191"/>
      <c r="BB60" s="191"/>
      <c r="BC60" s="191"/>
      <c r="BD60" s="191"/>
      <c r="BE60" s="191"/>
      <c r="BF60" s="191"/>
      <c r="BG60" s="191"/>
      <c r="BH60" s="191"/>
      <c r="BI60" s="191"/>
      <c r="BJ60" s="191"/>
      <c r="BK60" s="191"/>
      <c r="BL60" s="191"/>
      <c r="BM60" s="191"/>
      <c r="BN60" s="191"/>
      <c r="BO60" s="191"/>
      <c r="BP60" s="191"/>
      <c r="BQ60" s="191"/>
      <c r="BR60" s="191"/>
      <c r="BS60" s="191"/>
      <c r="BT60" s="191"/>
      <c r="BU60" s="191"/>
      <c r="BV60" s="191"/>
      <c r="BW60" s="191"/>
      <c r="BX60" s="191"/>
      <c r="BY60" s="191"/>
      <c r="BZ60" s="191"/>
      <c r="CA60" s="191"/>
      <c r="CB60" s="191"/>
      <c r="CC60" s="191"/>
      <c r="CD60" s="191"/>
      <c r="CE60" s="191"/>
      <c r="CF60" s="191"/>
      <c r="CG60" s="191"/>
      <c r="CH60" s="191"/>
      <c r="CI60" s="191"/>
      <c r="CJ60" s="191"/>
      <c r="CK60" s="191"/>
      <c r="CL60" s="191"/>
      <c r="CM60" s="191"/>
      <c r="CN60" s="191"/>
      <c r="CO60" s="191"/>
      <c r="CP60" s="191"/>
      <c r="CQ60" s="191"/>
    </row>
    <row r="61" spans="1:95" s="69" customFormat="1" ht="20.25" customHeight="1" x14ac:dyDescent="0.3">
      <c r="A61" s="66"/>
      <c r="B61" s="78" t="s">
        <v>81</v>
      </c>
      <c r="C61" s="286" t="str">
        <f>CONCATENATE("Award to: ",IF(C37&gt;0,B37,""),IF(C37&gt;0,", ",""),IF(C38&gt;0,B38,""),IF(C38&gt;0,", ",""),IF(C39&gt;0,B39,""),IF(C39&gt;0,", ",""),IF(C40&gt;0,B40,""),IF(C40&gt;0,", ",""),IF(C41&gt;0,B41,""),IF(C41&gt;0,", ",""),IF(C42&gt;0,B42,""),IF(C42&gt;0,", ",""),IF(C43&gt;0,B43,""),IF(C43&gt;0,", ",""),IF(C44&gt;0,B44,""),IF(C44&gt;0,", ",""),IF(C45&gt;0,B45,""),IF(C45&gt;0,", ",""),IF(C46&gt;0,B46,""),IF(C46&gt;0,", ",""))</f>
        <v xml:space="preserve">Award to: </v>
      </c>
      <c r="D61" s="287"/>
      <c r="E61" s="287"/>
      <c r="F61" s="287"/>
      <c r="G61" s="287"/>
      <c r="H61" s="287"/>
      <c r="I61" s="287"/>
      <c r="J61" s="287"/>
      <c r="K61" s="287"/>
      <c r="L61" s="287"/>
      <c r="M61" s="287"/>
      <c r="N61" s="287"/>
      <c r="O61" s="287"/>
      <c r="P61" s="287"/>
      <c r="Q61" s="287"/>
      <c r="R61" s="287"/>
      <c r="S61" s="287"/>
      <c r="T61" s="287"/>
      <c r="U61" s="287"/>
      <c r="V61" s="287"/>
      <c r="W61" s="287"/>
      <c r="X61" s="287"/>
      <c r="Y61" s="287"/>
      <c r="Z61" s="287"/>
      <c r="AA61" s="287"/>
      <c r="AB61" s="287"/>
      <c r="AC61" s="287"/>
      <c r="AD61" s="287"/>
      <c r="AE61" s="287"/>
      <c r="AF61" s="287"/>
      <c r="AG61" s="287"/>
      <c r="AH61" s="287"/>
      <c r="AI61" s="287"/>
      <c r="AJ61" s="287"/>
      <c r="AK61" s="287"/>
      <c r="AL61" s="287"/>
      <c r="AM61" s="287"/>
      <c r="AN61" s="288"/>
      <c r="AO61" s="67"/>
      <c r="AP61" s="67"/>
      <c r="AQ61" s="67"/>
      <c r="AR61" s="67"/>
      <c r="AS61" s="67"/>
      <c r="AT61" s="67"/>
      <c r="AU61" s="67"/>
      <c r="AV61" s="67"/>
      <c r="AW61" s="67"/>
      <c r="AX61" s="67"/>
      <c r="AY61" s="67"/>
      <c r="AZ61" s="67"/>
      <c r="BA61" s="67"/>
      <c r="BB61" s="67"/>
      <c r="BC61" s="67"/>
      <c r="BD61" s="68"/>
      <c r="BE61" s="67"/>
      <c r="BF61" s="67"/>
      <c r="BG61" s="67"/>
      <c r="BH61" s="67"/>
      <c r="BI61" s="67"/>
      <c r="BJ61" s="67"/>
    </row>
    <row r="62" spans="1:95" x14ac:dyDescent="0.25">
      <c r="A62" s="40"/>
      <c r="B62" s="40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63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65"/>
      <c r="AO62" s="20"/>
      <c r="AP62" s="20"/>
      <c r="AQ62" s="20"/>
      <c r="AT62" s="20"/>
      <c r="AU62" s="20"/>
      <c r="AV62" s="20"/>
      <c r="AW62" s="20"/>
      <c r="AZ62" s="20"/>
      <c r="BA62" s="20"/>
      <c r="BB62" s="20"/>
      <c r="BC62" s="20"/>
      <c r="BF62" s="20"/>
      <c r="BG62" s="20"/>
      <c r="BH62" s="20"/>
      <c r="BI62" s="20"/>
    </row>
    <row r="63" spans="1:95" s="43" customFormat="1" ht="15.75" customHeight="1" x14ac:dyDescent="0.25">
      <c r="A63" s="52"/>
      <c r="B63" s="52"/>
      <c r="C63" s="74"/>
      <c r="D63" s="74"/>
      <c r="E63" s="74"/>
      <c r="F63" s="74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63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63"/>
      <c r="AO63" s="42"/>
      <c r="AP63" s="42"/>
      <c r="AQ63" s="42"/>
      <c r="AT63" s="42"/>
      <c r="AU63" s="42"/>
      <c r="AV63" s="42"/>
      <c r="AW63" s="42"/>
      <c r="AZ63" s="42"/>
      <c r="BA63" s="42"/>
      <c r="BB63" s="42"/>
      <c r="BC63" s="42"/>
      <c r="BF63" s="42"/>
      <c r="BG63" s="42"/>
      <c r="BH63" s="42"/>
      <c r="BI63" s="42"/>
    </row>
    <row r="64" spans="1:95" s="73" customFormat="1" ht="40.5" x14ac:dyDescent="0.25">
      <c r="A64" s="70"/>
      <c r="B64" s="168" t="s">
        <v>82</v>
      </c>
      <c r="C64" s="351"/>
      <c r="D64" s="352"/>
      <c r="E64" s="352"/>
      <c r="F64" s="352"/>
      <c r="G64" s="352"/>
      <c r="H64" s="352"/>
      <c r="I64" s="352"/>
      <c r="J64" s="352"/>
      <c r="K64" s="352"/>
      <c r="L64" s="352"/>
      <c r="M64" s="352"/>
      <c r="N64" s="352"/>
      <c r="O64" s="352"/>
      <c r="P64" s="352"/>
      <c r="Q64" s="352"/>
      <c r="R64" s="352"/>
      <c r="S64" s="352"/>
      <c r="T64" s="352"/>
      <c r="U64" s="352"/>
      <c r="V64" s="352"/>
      <c r="W64" s="352"/>
      <c r="X64" s="352"/>
      <c r="Y64" s="352"/>
      <c r="Z64" s="352"/>
      <c r="AA64" s="352"/>
      <c r="AB64" s="352"/>
      <c r="AC64" s="352"/>
      <c r="AD64" s="352"/>
      <c r="AE64" s="352"/>
      <c r="AF64" s="352"/>
      <c r="AG64" s="352"/>
      <c r="AH64" s="352"/>
      <c r="AI64" s="352"/>
      <c r="AJ64" s="352"/>
      <c r="AK64" s="352"/>
      <c r="AL64" s="352"/>
      <c r="AM64" s="352"/>
      <c r="AN64" s="353"/>
      <c r="AO64" s="72"/>
      <c r="AP64" s="72"/>
      <c r="AQ64" s="72"/>
      <c r="AT64" s="72"/>
      <c r="AU64" s="72"/>
      <c r="AV64" s="72"/>
      <c r="AW64" s="72"/>
      <c r="AZ64" s="72"/>
      <c r="BA64" s="72"/>
      <c r="BB64" s="72"/>
      <c r="BC64" s="72"/>
      <c r="BF64" s="72"/>
      <c r="BG64" s="72"/>
      <c r="BH64" s="72"/>
      <c r="BI64" s="72"/>
    </row>
    <row r="65" spans="1:63" ht="15.6" customHeight="1" x14ac:dyDescent="0.25">
      <c r="A65" s="62"/>
      <c r="B65" s="56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  <c r="AB65" s="65"/>
      <c r="AC65" s="65"/>
      <c r="AD65" s="65"/>
      <c r="AE65" s="65"/>
      <c r="AF65" s="65"/>
      <c r="AG65" s="65"/>
      <c r="AH65" s="65"/>
      <c r="AI65" s="65"/>
      <c r="AJ65" s="65"/>
      <c r="AK65" s="65"/>
      <c r="AL65" s="65"/>
      <c r="AM65" s="65"/>
      <c r="AN65" s="65"/>
      <c r="AO65" s="280"/>
      <c r="AP65" s="280"/>
      <c r="AQ65" s="280"/>
      <c r="AR65" s="280"/>
      <c r="AS65" s="280"/>
      <c r="AT65" s="281"/>
      <c r="AU65" s="281"/>
      <c r="AV65" s="93"/>
      <c r="AW65" s="93"/>
    </row>
    <row r="66" spans="1:63" ht="15" x14ac:dyDescent="0.25">
      <c r="A66" s="62"/>
      <c r="B66" s="56"/>
      <c r="C66" s="65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  <c r="AI66" s="65"/>
      <c r="AJ66" s="65"/>
      <c r="AK66" s="65"/>
      <c r="AL66" s="65"/>
      <c r="AM66" s="65"/>
      <c r="AN66" s="65"/>
    </row>
    <row r="67" spans="1:63" ht="20.25" customHeight="1" x14ac:dyDescent="0.25">
      <c r="A67" s="62"/>
      <c r="B67" s="126" t="s">
        <v>83</v>
      </c>
      <c r="C67" s="160"/>
      <c r="D67" s="161"/>
      <c r="E67" s="161"/>
      <c r="F67" s="161"/>
      <c r="G67" s="161"/>
      <c r="H67" s="161"/>
      <c r="I67" s="161"/>
      <c r="J67" s="161"/>
      <c r="K67" s="161"/>
      <c r="L67" s="161"/>
      <c r="M67" s="161"/>
      <c r="N67" s="161"/>
      <c r="O67" s="161"/>
      <c r="P67" s="161"/>
      <c r="Q67" s="161"/>
      <c r="R67" s="161"/>
      <c r="S67" s="161"/>
      <c r="T67" s="161"/>
      <c r="U67" s="161"/>
      <c r="V67" s="161"/>
      <c r="W67" s="161"/>
      <c r="X67" s="161"/>
      <c r="Y67" s="161"/>
      <c r="Z67" s="161"/>
      <c r="AA67" s="161"/>
      <c r="AB67" s="161"/>
      <c r="AC67" s="161"/>
      <c r="AD67" s="161"/>
      <c r="AE67" s="161"/>
      <c r="AF67" s="161"/>
      <c r="AG67" s="161"/>
      <c r="AH67" s="161"/>
      <c r="AI67" s="161"/>
      <c r="AJ67" s="161"/>
      <c r="AK67" s="161"/>
      <c r="AL67" s="161"/>
      <c r="AM67" s="161"/>
      <c r="AN67" s="162"/>
    </row>
    <row r="68" spans="1:63" ht="15" customHeight="1" x14ac:dyDescent="0.25">
      <c r="A68" s="62"/>
      <c r="B68" s="127"/>
      <c r="C68" s="163"/>
      <c r="D68" s="159"/>
      <c r="E68" s="159"/>
      <c r="F68" s="159"/>
      <c r="G68" s="159"/>
      <c r="H68" s="159"/>
      <c r="I68" s="159"/>
      <c r="J68" s="159"/>
      <c r="K68" s="159"/>
      <c r="L68" s="159"/>
      <c r="M68" s="159"/>
      <c r="N68" s="159"/>
      <c r="O68" s="159"/>
      <c r="P68" s="159"/>
      <c r="Q68" s="159"/>
      <c r="R68" s="159"/>
      <c r="S68" s="159"/>
      <c r="T68" s="159"/>
      <c r="U68" s="159"/>
      <c r="V68" s="159"/>
      <c r="W68" s="159"/>
      <c r="X68" s="159"/>
      <c r="Y68" s="159"/>
      <c r="Z68" s="159"/>
      <c r="AA68" s="159"/>
      <c r="AB68" s="159"/>
      <c r="AC68" s="159"/>
      <c r="AD68" s="159"/>
      <c r="AE68" s="159"/>
      <c r="AF68" s="159"/>
      <c r="AG68" s="159"/>
      <c r="AH68" s="159"/>
      <c r="AI68" s="159"/>
      <c r="AJ68" s="159"/>
      <c r="AK68" s="159"/>
      <c r="AL68" s="159"/>
      <c r="AM68" s="159"/>
      <c r="AN68" s="164"/>
    </row>
    <row r="69" spans="1:63" ht="15" customHeight="1" x14ac:dyDescent="0.25">
      <c r="A69" s="62"/>
      <c r="B69" s="127"/>
      <c r="C69" s="163"/>
      <c r="D69" s="159"/>
      <c r="E69" s="159"/>
      <c r="F69" s="159"/>
      <c r="G69" s="159"/>
      <c r="H69" s="159"/>
      <c r="I69" s="159"/>
      <c r="J69" s="159"/>
      <c r="K69" s="159"/>
      <c r="L69" s="159"/>
      <c r="M69" s="159"/>
      <c r="N69" s="159"/>
      <c r="O69" s="159"/>
      <c r="P69" s="159"/>
      <c r="Q69" s="159"/>
      <c r="R69" s="159"/>
      <c r="S69" s="159"/>
      <c r="T69" s="159"/>
      <c r="U69" s="159"/>
      <c r="V69" s="159"/>
      <c r="W69" s="159"/>
      <c r="X69" s="159"/>
      <c r="Y69" s="159"/>
      <c r="Z69" s="159"/>
      <c r="AA69" s="159"/>
      <c r="AB69" s="159"/>
      <c r="AC69" s="159"/>
      <c r="AD69" s="159"/>
      <c r="AE69" s="159"/>
      <c r="AF69" s="159"/>
      <c r="AG69" s="159"/>
      <c r="AH69" s="159"/>
      <c r="AI69" s="159"/>
      <c r="AJ69" s="159"/>
      <c r="AK69" s="159"/>
      <c r="AL69" s="159"/>
      <c r="AM69" s="159"/>
      <c r="AN69" s="164"/>
    </row>
    <row r="70" spans="1:63" ht="15" customHeight="1" x14ac:dyDescent="0.25">
      <c r="A70" s="62"/>
      <c r="B70" s="128"/>
      <c r="C70" s="163"/>
      <c r="D70" s="159"/>
      <c r="E70" s="159"/>
      <c r="F70" s="159"/>
      <c r="G70" s="159"/>
      <c r="H70" s="159"/>
      <c r="I70" s="159"/>
      <c r="J70" s="159"/>
      <c r="K70" s="159"/>
      <c r="L70" s="159"/>
      <c r="M70" s="159"/>
      <c r="N70" s="159"/>
      <c r="O70" s="159"/>
      <c r="P70" s="159"/>
      <c r="Q70" s="159"/>
      <c r="R70" s="159"/>
      <c r="S70" s="159"/>
      <c r="T70" s="159"/>
      <c r="U70" s="159"/>
      <c r="V70" s="159"/>
      <c r="W70" s="159"/>
      <c r="X70" s="159"/>
      <c r="Y70" s="159"/>
      <c r="Z70" s="159"/>
      <c r="AA70" s="159"/>
      <c r="AB70" s="159"/>
      <c r="AC70" s="159"/>
      <c r="AD70" s="159"/>
      <c r="AE70" s="159"/>
      <c r="AF70" s="159"/>
      <c r="AG70" s="159"/>
      <c r="AH70" s="159"/>
      <c r="AI70" s="159"/>
      <c r="AJ70" s="159"/>
      <c r="AK70" s="159"/>
      <c r="AL70" s="159"/>
      <c r="AM70" s="159"/>
      <c r="AN70" s="164"/>
    </row>
    <row r="71" spans="1:63" ht="15" customHeight="1" x14ac:dyDescent="0.25">
      <c r="A71" s="62"/>
      <c r="B71" s="128"/>
      <c r="C71" s="163"/>
      <c r="D71" s="159"/>
      <c r="E71" s="159"/>
      <c r="F71" s="159"/>
      <c r="G71" s="159"/>
      <c r="H71" s="159"/>
      <c r="I71" s="159"/>
      <c r="J71" s="159"/>
      <c r="K71" s="159"/>
      <c r="L71" s="159"/>
      <c r="M71" s="159"/>
      <c r="N71" s="159"/>
      <c r="O71" s="159"/>
      <c r="P71" s="159"/>
      <c r="Q71" s="159"/>
      <c r="R71" s="159"/>
      <c r="S71" s="159"/>
      <c r="T71" s="159"/>
      <c r="U71" s="159"/>
      <c r="V71" s="159"/>
      <c r="W71" s="159"/>
      <c r="X71" s="159"/>
      <c r="Y71" s="159"/>
      <c r="Z71" s="159"/>
      <c r="AA71" s="159"/>
      <c r="AB71" s="159"/>
      <c r="AC71" s="159"/>
      <c r="AD71" s="159"/>
      <c r="AE71" s="159"/>
      <c r="AF71" s="159"/>
      <c r="AG71" s="159"/>
      <c r="AH71" s="159"/>
      <c r="AI71" s="159"/>
      <c r="AJ71" s="159"/>
      <c r="AK71" s="159"/>
      <c r="AL71" s="159"/>
      <c r="AM71" s="159"/>
      <c r="AN71" s="164"/>
    </row>
    <row r="72" spans="1:63" ht="15" customHeight="1" x14ac:dyDescent="0.25">
      <c r="A72" s="62"/>
      <c r="B72" s="128"/>
      <c r="C72" s="163"/>
      <c r="D72" s="159"/>
      <c r="E72" s="159"/>
      <c r="F72" s="159"/>
      <c r="G72" s="159"/>
      <c r="H72" s="159"/>
      <c r="I72" s="159"/>
      <c r="J72" s="159"/>
      <c r="K72" s="159"/>
      <c r="L72" s="159"/>
      <c r="M72" s="159"/>
      <c r="N72" s="159"/>
      <c r="O72" s="159"/>
      <c r="P72" s="159"/>
      <c r="Q72" s="159"/>
      <c r="R72" s="159"/>
      <c r="S72" s="159"/>
      <c r="T72" s="159"/>
      <c r="U72" s="159"/>
      <c r="V72" s="159"/>
      <c r="W72" s="159"/>
      <c r="X72" s="159"/>
      <c r="Y72" s="159"/>
      <c r="Z72" s="159"/>
      <c r="AA72" s="159"/>
      <c r="AB72" s="159"/>
      <c r="AC72" s="159"/>
      <c r="AD72" s="159"/>
      <c r="AE72" s="159"/>
      <c r="AF72" s="159"/>
      <c r="AG72" s="159"/>
      <c r="AH72" s="159"/>
      <c r="AI72" s="159"/>
      <c r="AJ72" s="159"/>
      <c r="AK72" s="159"/>
      <c r="AL72" s="159"/>
      <c r="AM72" s="159"/>
      <c r="AN72" s="164"/>
    </row>
    <row r="73" spans="1:63" ht="23.25" x14ac:dyDescent="0.25">
      <c r="A73" s="62"/>
      <c r="B73" s="128"/>
      <c r="C73" s="163"/>
      <c r="D73" s="159"/>
      <c r="E73" s="159"/>
      <c r="F73" s="159"/>
      <c r="G73" s="159"/>
      <c r="H73" s="159"/>
      <c r="I73" s="159"/>
      <c r="J73" s="159"/>
      <c r="K73" s="159"/>
      <c r="L73" s="159"/>
      <c r="M73" s="159"/>
      <c r="N73" s="159"/>
      <c r="O73" s="159"/>
      <c r="P73" s="159"/>
      <c r="Q73" s="159"/>
      <c r="R73" s="159"/>
      <c r="S73" s="159"/>
      <c r="T73" s="159"/>
      <c r="U73" s="159"/>
      <c r="V73" s="159"/>
      <c r="W73" s="159"/>
      <c r="X73" s="159"/>
      <c r="Y73" s="159"/>
      <c r="Z73" s="159"/>
      <c r="AA73" s="159"/>
      <c r="AB73" s="159"/>
      <c r="AC73" s="159"/>
      <c r="AD73" s="159"/>
      <c r="AE73" s="159"/>
      <c r="AF73" s="159"/>
      <c r="AG73" s="159"/>
      <c r="AH73" s="159"/>
      <c r="AI73" s="159"/>
      <c r="AJ73" s="159"/>
      <c r="AK73" s="159"/>
      <c r="AL73" s="159"/>
      <c r="AM73" s="159"/>
      <c r="AN73" s="164"/>
    </row>
    <row r="74" spans="1:63" ht="23.25" x14ac:dyDescent="0.25">
      <c r="A74" s="62"/>
      <c r="B74" s="128"/>
      <c r="C74" s="163"/>
      <c r="D74" s="159"/>
      <c r="E74" s="159"/>
      <c r="F74" s="159"/>
      <c r="G74" s="159"/>
      <c r="H74" s="159"/>
      <c r="I74" s="159"/>
      <c r="J74" s="159"/>
      <c r="K74" s="159"/>
      <c r="L74" s="159"/>
      <c r="M74" s="159"/>
      <c r="N74" s="159"/>
      <c r="O74" s="159"/>
      <c r="P74" s="159"/>
      <c r="Q74" s="159"/>
      <c r="R74" s="159"/>
      <c r="S74" s="159"/>
      <c r="T74" s="159"/>
      <c r="U74" s="159"/>
      <c r="V74" s="159"/>
      <c r="W74" s="159"/>
      <c r="X74" s="159"/>
      <c r="Y74" s="159"/>
      <c r="Z74" s="159"/>
      <c r="AA74" s="159"/>
      <c r="AB74" s="159"/>
      <c r="AC74" s="159"/>
      <c r="AD74" s="159"/>
      <c r="AE74" s="159"/>
      <c r="AF74" s="159"/>
      <c r="AG74" s="159"/>
      <c r="AH74" s="159"/>
      <c r="AI74" s="159"/>
      <c r="AJ74" s="159"/>
      <c r="AK74" s="159"/>
      <c r="AL74" s="159"/>
      <c r="AM74" s="159"/>
      <c r="AN74" s="164"/>
    </row>
    <row r="75" spans="1:63" ht="23.25" x14ac:dyDescent="0.25">
      <c r="A75" s="62"/>
      <c r="B75" s="128"/>
      <c r="C75" s="163"/>
      <c r="D75" s="159"/>
      <c r="E75" s="159"/>
      <c r="F75" s="159"/>
      <c r="G75" s="159"/>
      <c r="H75" s="159"/>
      <c r="I75" s="159"/>
      <c r="J75" s="159"/>
      <c r="K75" s="159"/>
      <c r="L75" s="159"/>
      <c r="M75" s="159"/>
      <c r="N75" s="159"/>
      <c r="O75" s="159"/>
      <c r="P75" s="159"/>
      <c r="Q75" s="159"/>
      <c r="R75" s="159"/>
      <c r="S75" s="159"/>
      <c r="T75" s="159"/>
      <c r="U75" s="159"/>
      <c r="V75" s="159"/>
      <c r="W75" s="159"/>
      <c r="X75" s="159"/>
      <c r="Y75" s="159"/>
      <c r="Z75" s="159"/>
      <c r="AA75" s="159"/>
      <c r="AB75" s="159"/>
      <c r="AC75" s="159"/>
      <c r="AD75" s="159"/>
      <c r="AE75" s="159"/>
      <c r="AF75" s="159"/>
      <c r="AG75" s="159"/>
      <c r="AH75" s="159"/>
      <c r="AI75" s="159"/>
      <c r="AJ75" s="159"/>
      <c r="AK75" s="159"/>
      <c r="AL75" s="159"/>
      <c r="AM75" s="159"/>
      <c r="AN75" s="164"/>
    </row>
    <row r="76" spans="1:63" ht="23.25" x14ac:dyDescent="0.25">
      <c r="A76" s="62"/>
      <c r="B76" s="128"/>
      <c r="C76" s="163"/>
      <c r="D76" s="159"/>
      <c r="E76" s="159"/>
      <c r="F76" s="159"/>
      <c r="G76" s="159"/>
      <c r="H76" s="159"/>
      <c r="I76" s="159"/>
      <c r="J76" s="159"/>
      <c r="K76" s="159"/>
      <c r="L76" s="159"/>
      <c r="M76" s="159"/>
      <c r="N76" s="159"/>
      <c r="O76" s="159"/>
      <c r="P76" s="159"/>
      <c r="Q76" s="159"/>
      <c r="R76" s="159"/>
      <c r="S76" s="159"/>
      <c r="T76" s="159"/>
      <c r="U76" s="159"/>
      <c r="V76" s="159"/>
      <c r="W76" s="159"/>
      <c r="X76" s="159"/>
      <c r="Y76" s="159"/>
      <c r="Z76" s="159"/>
      <c r="AA76" s="159"/>
      <c r="AB76" s="159"/>
      <c r="AC76" s="159"/>
      <c r="AD76" s="159"/>
      <c r="AE76" s="159"/>
      <c r="AF76" s="159"/>
      <c r="AG76" s="159"/>
      <c r="AH76" s="159"/>
      <c r="AI76" s="159"/>
      <c r="AJ76" s="159"/>
      <c r="AK76" s="159"/>
      <c r="AL76" s="159"/>
      <c r="AM76" s="159"/>
      <c r="AN76" s="164"/>
    </row>
    <row r="77" spans="1:63" ht="23.25" x14ac:dyDescent="0.25">
      <c r="A77" s="62"/>
      <c r="B77" s="128"/>
      <c r="C77" s="163"/>
      <c r="D77" s="159"/>
      <c r="E77" s="159"/>
      <c r="F77" s="159"/>
      <c r="G77" s="159"/>
      <c r="H77" s="159"/>
      <c r="I77" s="159"/>
      <c r="J77" s="159"/>
      <c r="K77" s="159"/>
      <c r="L77" s="159"/>
      <c r="M77" s="159"/>
      <c r="N77" s="159"/>
      <c r="O77" s="159"/>
      <c r="P77" s="159"/>
      <c r="Q77" s="159"/>
      <c r="R77" s="159"/>
      <c r="S77" s="159"/>
      <c r="T77" s="159"/>
      <c r="U77" s="159"/>
      <c r="V77" s="159"/>
      <c r="W77" s="159"/>
      <c r="X77" s="159"/>
      <c r="Y77" s="159"/>
      <c r="Z77" s="159"/>
      <c r="AA77" s="159"/>
      <c r="AB77" s="159"/>
      <c r="AC77" s="159"/>
      <c r="AD77" s="159"/>
      <c r="AE77" s="159"/>
      <c r="AF77" s="159"/>
      <c r="AG77" s="159"/>
      <c r="AH77" s="159"/>
      <c r="AI77" s="159"/>
      <c r="AJ77" s="159"/>
      <c r="AK77" s="159"/>
      <c r="AL77" s="159"/>
      <c r="AM77" s="159"/>
      <c r="AN77" s="164"/>
    </row>
    <row r="78" spans="1:63" ht="23.25" x14ac:dyDescent="0.25">
      <c r="A78" s="62"/>
      <c r="B78" s="128"/>
      <c r="C78" s="163"/>
      <c r="D78" s="159"/>
      <c r="E78" s="159"/>
      <c r="F78" s="159"/>
      <c r="G78" s="159"/>
      <c r="H78" s="159"/>
      <c r="I78" s="159"/>
      <c r="J78" s="159"/>
      <c r="K78" s="159"/>
      <c r="L78" s="159"/>
      <c r="M78" s="159"/>
      <c r="N78" s="159"/>
      <c r="O78" s="159"/>
      <c r="P78" s="159"/>
      <c r="Q78" s="159"/>
      <c r="R78" s="159"/>
      <c r="S78" s="159"/>
      <c r="T78" s="159"/>
      <c r="U78" s="159"/>
      <c r="V78" s="159"/>
      <c r="W78" s="159"/>
      <c r="X78" s="159"/>
      <c r="Y78" s="159"/>
      <c r="Z78" s="159"/>
      <c r="AA78" s="159"/>
      <c r="AB78" s="159"/>
      <c r="AC78" s="159"/>
      <c r="AD78" s="159"/>
      <c r="AE78" s="159"/>
      <c r="AF78" s="159"/>
      <c r="AG78" s="159"/>
      <c r="AH78" s="159"/>
      <c r="AI78" s="159"/>
      <c r="AJ78" s="159"/>
      <c r="AK78" s="159"/>
      <c r="AL78" s="159"/>
      <c r="AM78" s="159"/>
      <c r="AN78" s="164"/>
    </row>
    <row r="79" spans="1:63" ht="23.25" x14ac:dyDescent="0.3">
      <c r="A79" s="62"/>
      <c r="B79" s="128"/>
      <c r="C79" s="163"/>
      <c r="D79" s="159"/>
      <c r="E79" s="159"/>
      <c r="F79" s="159"/>
      <c r="G79" s="159"/>
      <c r="H79" s="159"/>
      <c r="I79" s="159"/>
      <c r="J79" s="159"/>
      <c r="K79" s="159"/>
      <c r="L79" s="159"/>
      <c r="M79" s="159"/>
      <c r="N79" s="159"/>
      <c r="O79" s="159"/>
      <c r="P79" s="159"/>
      <c r="Q79" s="159"/>
      <c r="R79" s="159"/>
      <c r="S79" s="159"/>
      <c r="T79" s="159"/>
      <c r="U79" s="159"/>
      <c r="V79" s="159"/>
      <c r="W79" s="159"/>
      <c r="X79" s="159"/>
      <c r="Y79" s="159"/>
      <c r="Z79" s="159"/>
      <c r="AA79" s="159"/>
      <c r="AB79" s="159"/>
      <c r="AC79" s="159"/>
      <c r="AD79" s="159"/>
      <c r="AE79" s="159"/>
      <c r="AF79" s="159"/>
      <c r="AG79" s="159"/>
      <c r="AH79" s="159"/>
      <c r="AI79" s="159"/>
      <c r="AJ79" s="159"/>
      <c r="AK79" s="159"/>
      <c r="AL79" s="159"/>
      <c r="AM79" s="159"/>
      <c r="AN79" s="164"/>
      <c r="AW79" s="193"/>
      <c r="AY79" s="172"/>
      <c r="BA79" s="173"/>
      <c r="BB79" s="173"/>
      <c r="BC79" s="193"/>
      <c r="BD79" s="173"/>
      <c r="BE79" s="172"/>
      <c r="BF79" s="193"/>
      <c r="BG79" s="172"/>
      <c r="BH79" s="173"/>
      <c r="BI79" s="172"/>
      <c r="BJ79" s="173"/>
      <c r="BK79" s="172"/>
    </row>
    <row r="80" spans="1:63" ht="23.25" x14ac:dyDescent="0.25">
      <c r="A80" s="62"/>
      <c r="B80" s="128"/>
      <c r="C80" s="163"/>
      <c r="D80" s="159"/>
      <c r="E80" s="159"/>
      <c r="F80" s="159"/>
      <c r="G80" s="159"/>
      <c r="H80" s="159"/>
      <c r="I80" s="159"/>
      <c r="J80" s="159"/>
      <c r="K80" s="159"/>
      <c r="L80" s="159"/>
      <c r="M80" s="159"/>
      <c r="N80" s="159"/>
      <c r="O80" s="159"/>
      <c r="P80" s="159"/>
      <c r="Q80" s="159"/>
      <c r="R80" s="159"/>
      <c r="S80" s="159"/>
      <c r="T80" s="159"/>
      <c r="U80" s="159"/>
      <c r="V80" s="159"/>
      <c r="W80" s="159"/>
      <c r="X80" s="159"/>
      <c r="Y80" s="159"/>
      <c r="Z80" s="159"/>
      <c r="AA80" s="159"/>
      <c r="AB80" s="159"/>
      <c r="AC80" s="159"/>
      <c r="AD80" s="159"/>
      <c r="AE80" s="159"/>
      <c r="AF80" s="159"/>
      <c r="AG80" s="159"/>
      <c r="AH80" s="159"/>
      <c r="AI80" s="159"/>
      <c r="AJ80" s="159"/>
      <c r="AK80" s="159"/>
      <c r="AL80" s="159"/>
      <c r="AM80" s="159"/>
      <c r="AN80" s="164"/>
      <c r="AW80" s="175"/>
      <c r="AY80" s="175"/>
      <c r="BA80" s="175"/>
      <c r="BB80" s="175"/>
      <c r="BC80" s="175"/>
      <c r="BD80" s="175"/>
      <c r="BE80" s="175"/>
      <c r="BF80" s="175"/>
      <c r="BG80" s="175"/>
      <c r="BH80" s="175"/>
      <c r="BI80" s="175"/>
      <c r="BJ80" s="175"/>
      <c r="BK80" s="175"/>
    </row>
    <row r="81" spans="1:76" ht="23.25" x14ac:dyDescent="0.25">
      <c r="A81" s="62"/>
      <c r="B81" s="128"/>
      <c r="C81" s="165"/>
      <c r="D81" s="166"/>
      <c r="E81" s="166"/>
      <c r="F81" s="166"/>
      <c r="G81" s="166"/>
      <c r="H81" s="166"/>
      <c r="I81" s="166"/>
      <c r="J81" s="166"/>
      <c r="K81" s="166"/>
      <c r="L81" s="166"/>
      <c r="M81" s="166"/>
      <c r="N81" s="166"/>
      <c r="O81" s="166"/>
      <c r="P81" s="166"/>
      <c r="Q81" s="166"/>
      <c r="R81" s="166"/>
      <c r="S81" s="166"/>
      <c r="T81" s="166"/>
      <c r="U81" s="166"/>
      <c r="V81" s="166"/>
      <c r="W81" s="166"/>
      <c r="X81" s="166"/>
      <c r="Y81" s="166"/>
      <c r="Z81" s="166"/>
      <c r="AA81" s="166"/>
      <c r="AB81" s="166"/>
      <c r="AC81" s="166"/>
      <c r="AD81" s="166"/>
      <c r="AE81" s="166"/>
      <c r="AF81" s="166"/>
      <c r="AG81" s="166"/>
      <c r="AH81" s="166"/>
      <c r="AI81" s="166"/>
      <c r="AJ81" s="166"/>
      <c r="AK81" s="166"/>
      <c r="AL81" s="166"/>
      <c r="AM81" s="166"/>
      <c r="AN81" s="167"/>
      <c r="AW81" s="179"/>
      <c r="AY81" s="179"/>
      <c r="BA81" s="175"/>
      <c r="BB81" s="175"/>
      <c r="BC81" s="179"/>
      <c r="BD81" s="175"/>
      <c r="BE81" s="179"/>
      <c r="BF81" s="179"/>
      <c r="BG81" s="179"/>
      <c r="BH81" s="175"/>
      <c r="BI81" s="179"/>
      <c r="BJ81" s="175"/>
      <c r="BK81" s="179"/>
    </row>
    <row r="85" spans="1:76" s="173" customFormat="1" ht="20.25" x14ac:dyDescent="0.3">
      <c r="B85" s="172" t="s">
        <v>100</v>
      </c>
      <c r="D85" s="174" t="s">
        <v>84</v>
      </c>
      <c r="I85" s="174" t="str">
        <f>IF(AND($J$47&gt;100000,G91=FALSE,H91=FALSE),"Reviewed By:","")</f>
        <v/>
      </c>
      <c r="L85" s="172" t="str">
        <f>IF($J$47&gt;500000,"Noted By:","")</f>
        <v/>
      </c>
      <c r="M85" s="172"/>
      <c r="AB85" s="172" t="str">
        <f>IF($J$47&gt;1000000,"Recommended By:","")</f>
        <v/>
      </c>
      <c r="AI85" s="173" t="str">
        <f>IF(ISBLANK(AI91),"",AI91)</f>
        <v/>
      </c>
      <c r="AL85" s="173" t="str">
        <f>IF(ISBLANK(AL$91),"",AL$91)</f>
        <v/>
      </c>
      <c r="AO85" s="173" t="str">
        <f>IF(ISBLANK(AO$91),"",AO$91)</f>
        <v/>
      </c>
      <c r="AQ85" s="172"/>
      <c r="AR85" s="173" t="str">
        <f>IF(ISBLANK(AR$91),"",AR$91)</f>
        <v/>
      </c>
      <c r="AU85" s="173" t="str">
        <f>IF(ISBLANK(AU$91),"",AU$91)</f>
        <v/>
      </c>
      <c r="AX85" s="173" t="str">
        <f>IFERROR(HLOOKUP("Approved By",$AX$90:$BX$93,2,FALSE),"")</f>
        <v/>
      </c>
      <c r="BA85" s="173" t="str">
        <f>IFERROR(HLOOKUP("Approved By",$AX$94:$BP$97,2,FALSE),"")</f>
        <v/>
      </c>
      <c r="BD85" s="173" t="str">
        <f>IFERROR(HLOOKUP("Approved By",$AX$99:$AZ$101,1,FALSE),"")</f>
        <v/>
      </c>
    </row>
    <row r="86" spans="1:76" s="175" customFormat="1" ht="20.25" x14ac:dyDescent="0.3">
      <c r="D86" s="176"/>
      <c r="I86" s="176"/>
      <c r="L86" s="177"/>
      <c r="M86" s="177"/>
      <c r="AB86" s="178"/>
    </row>
    <row r="87" spans="1:76" s="175" customFormat="1" ht="20.25" x14ac:dyDescent="0.3">
      <c r="B87" s="237"/>
      <c r="D87" s="221" t="str">
        <f>IFERROR(VLOOKUP($B87,Reference!$G$2:$K$100,2,FALSE),"")</f>
        <v/>
      </c>
      <c r="E87" s="223"/>
      <c r="F87" s="223"/>
      <c r="G87" s="223"/>
      <c r="I87" s="221" t="str">
        <f>IFERROR(IF($J$47&gt;=100001,VLOOKUP($B87,Reference!$G$2:$K$100,3,FALSE),""),"")</f>
        <v/>
      </c>
      <c r="J87" s="223"/>
      <c r="L87" s="224" t="str">
        <f>IFERROR(IF($J$47&gt;=500001,VLOOKUP($B87,Reference!$G$2:$K$100,4,FALSE),""),"")</f>
        <v/>
      </c>
      <c r="M87" s="180"/>
      <c r="AB87" s="224" t="str">
        <f>IFERROR(IF($J$47&gt;=1000001,VLOOKUP($B87,Reference!$G$2:$K$100,5,FALSE),""),"")</f>
        <v/>
      </c>
      <c r="AI87" s="223" t="str">
        <f>IF(ISBLANK(AI93),"",AI$93)</f>
        <v/>
      </c>
      <c r="AL87" s="223" t="str">
        <f>IF(ISBLANK(AL$93),"",AL$93)</f>
        <v/>
      </c>
      <c r="AO87" s="223" t="str">
        <f>IF(ISBLANK(AO$93),"",AO$93)</f>
        <v/>
      </c>
      <c r="AQ87" s="179"/>
      <c r="AR87" s="223" t="str">
        <f>IF(ISBLANK(AR$93),"",AR$93)</f>
        <v/>
      </c>
      <c r="AU87" s="223" t="str">
        <f>IF(ISBLANK(AU$93),"",AU$93)</f>
        <v/>
      </c>
      <c r="AX87" s="223" t="str">
        <f>IFERROR(HLOOKUP("Approved By",$AX$90:$BX$93,4,FALSE),"")</f>
        <v/>
      </c>
      <c r="BA87" s="223" t="str">
        <f>IFERROR(HLOOKUP("Approved By",$AX$94:$BP$97,4,FALSE),"")</f>
        <v/>
      </c>
      <c r="BD87" s="223" t="str">
        <f>IFERROR(HLOOKUP("Approved By",$AX$99:$AZ$101,3,FALSE),"")</f>
        <v/>
      </c>
      <c r="BH87" s="173"/>
      <c r="BJ87" s="173"/>
    </row>
    <row r="88" spans="1:76" s="182" customFormat="1" ht="45" customHeight="1" x14ac:dyDescent="0.25">
      <c r="B88" s="181" t="s">
        <v>85</v>
      </c>
      <c r="D88" s="274" t="str">
        <f>IFERROR(VLOOKUP(D87,Reference!$M$2:$N$100,2,0),"")</f>
        <v/>
      </c>
      <c r="E88" s="274"/>
      <c r="F88" s="274"/>
      <c r="G88" s="274"/>
      <c r="I88" s="274" t="str">
        <f>IFERROR(VLOOKUP(I87,Reference!$M$2:$N$100,2,0),"")</f>
        <v/>
      </c>
      <c r="J88" s="274"/>
      <c r="L88" s="225" t="str">
        <f>IFERROR(VLOOKUP($L87,Reference!$M:$N,2,0),"")</f>
        <v/>
      </c>
      <c r="M88" s="183"/>
      <c r="O88" s="184"/>
      <c r="Q88" s="185"/>
      <c r="AB88" s="226" t="str">
        <f>IFERROR(VLOOKUP($AB87,Reference!$M:$N,2,0),"")</f>
        <v/>
      </c>
      <c r="AI88" s="222" t="str">
        <f>IFERROR(VLOOKUP(AI87,Approvers!$AJ$2:$AK$106,2,FALSE),"")</f>
        <v/>
      </c>
      <c r="AL88" s="222" t="str">
        <f>IFERROR(VLOOKUP(AL87,Approvers!$AJ$2:$AK$106,2,FALSE),"")</f>
        <v/>
      </c>
      <c r="AN88" s="181"/>
      <c r="AO88" s="222" t="str">
        <f>IFERROR(VLOOKUP(AO87,Approvers!$AJ$2:$AK$106,2,FALSE),"")</f>
        <v/>
      </c>
      <c r="AP88" s="185"/>
      <c r="AQ88" s="181"/>
      <c r="AR88" s="222" t="str">
        <f>IFERROR(VLOOKUP(AR87,Approvers!$AJ$2:$AK$106,2,FALSE),"")</f>
        <v/>
      </c>
      <c r="AS88" s="273"/>
      <c r="AT88" s="273"/>
      <c r="AU88" s="222" t="str">
        <f>IFERROR(VLOOKUP(AU87,Approvers!$AJ$2:$AK$106,2,FALSE),"")</f>
        <v/>
      </c>
      <c r="AX88" s="222" t="str">
        <f>IFERROR(VLOOKUP(AX87,Approvers!$AJ$2:$AK$106,2,FALSE),"")</f>
        <v/>
      </c>
      <c r="BA88" s="222" t="str">
        <f>IFERROR(VLOOKUP(BA87,Approvers!$AJ$2:$AK$106,2,FALSE),"")</f>
        <v/>
      </c>
      <c r="BC88" s="175"/>
      <c r="BD88" s="246" t="str">
        <f>IFERROR(VLOOKUP(BD87,Approvers!$AJ$2:$AK$106,2,FALSE),"")</f>
        <v/>
      </c>
      <c r="BE88" s="179"/>
    </row>
    <row r="89" spans="1:76" s="65" customFormat="1" x14ac:dyDescent="0.25">
      <c r="D89" s="37"/>
      <c r="E89" s="37"/>
      <c r="F89" s="37"/>
      <c r="G89" s="37"/>
      <c r="BC89" s="37"/>
      <c r="BD89" s="37"/>
    </row>
    <row r="90" spans="1:76" s="65" customFormat="1" ht="20.25" customHeight="1" x14ac:dyDescent="0.25">
      <c r="D90" s="37"/>
      <c r="E90" s="37"/>
      <c r="F90" s="37"/>
      <c r="G90" s="37"/>
      <c r="AX90" s="65" t="str">
        <f>TEXT(AX91,)</f>
        <v/>
      </c>
      <c r="AZ90" s="65" t="str">
        <f>TEXT(AZ91,)</f>
        <v/>
      </c>
      <c r="BA90" s="173"/>
      <c r="BB90" s="65" t="str">
        <f>TEXT(BB91,)</f>
        <v/>
      </c>
      <c r="BC90" s="3"/>
      <c r="BD90" s="65" t="str">
        <f>TEXT(BD91,)</f>
        <v/>
      </c>
      <c r="BF90" s="65" t="str">
        <f>TEXT(BF91,)</f>
        <v/>
      </c>
      <c r="BH90" s="65" t="str">
        <f>TEXT(BH91,)</f>
        <v/>
      </c>
      <c r="BJ90" s="65" t="str">
        <f>TEXT(BJ91,)</f>
        <v/>
      </c>
      <c r="BL90" s="65" t="str">
        <f>TEXT(BL91,)</f>
        <v/>
      </c>
      <c r="BN90" s="65" t="str">
        <f>TEXT(BN91,)</f>
        <v/>
      </c>
      <c r="BP90" s="65" t="str">
        <f>TEXT(BP91,)</f>
        <v/>
      </c>
      <c r="BR90" s="65" t="str">
        <f>TEXT(BR91,)</f>
        <v/>
      </c>
      <c r="BT90" s="65" t="str">
        <f>TEXT(BT91,)</f>
        <v/>
      </c>
      <c r="BV90" s="65" t="str">
        <f>TEXT(BV91,)</f>
        <v/>
      </c>
      <c r="BX90" s="65" t="str">
        <f>TEXT(BX91,)</f>
        <v/>
      </c>
    </row>
    <row r="91" spans="1:76" s="37" customFormat="1" ht="20.25" customHeight="1" x14ac:dyDescent="0.3">
      <c r="G91" s="37" t="b">
        <f>D87=I87</f>
        <v>1</v>
      </c>
      <c r="H91" s="37" t="b">
        <f>I87=""</f>
        <v>1</v>
      </c>
      <c r="M91" s="25"/>
      <c r="AI91" s="172" t="str">
        <f>IFERROR(VLOOKUP(Approvers!$AH$1,Approvers!$I:$L,3,FALSE),"")</f>
        <v/>
      </c>
      <c r="AJ91" s="172"/>
      <c r="AK91" s="172"/>
      <c r="AL91" s="172" t="str">
        <f>IFERROR(VLOOKUP(Approvers!$AH$1,Approvers!$I:$N,5,FALSE),"")</f>
        <v/>
      </c>
      <c r="AM91" s="173"/>
      <c r="AN91" s="172"/>
      <c r="AO91" s="172" t="str">
        <f>IFERROR(VLOOKUP(Approvers!$AH$1,Approvers!$I:$P,7,FALSE),"")</f>
        <v/>
      </c>
      <c r="AP91" s="65"/>
      <c r="AQ91" s="65"/>
      <c r="AR91" s="172" t="str">
        <f>IFERROR(VLOOKUP(Approvers!$AH$1,Approvers!$I:$T,9,FALSE),"")</f>
        <v/>
      </c>
      <c r="AS91" s="173"/>
      <c r="AT91" s="172"/>
      <c r="AU91" s="172" t="str">
        <f>IFERROR(VLOOKUP(Approvers!$AH$1,Approvers!$I:$T,11,FALSE),"")</f>
        <v/>
      </c>
      <c r="AV91" s="172"/>
      <c r="AW91" s="172"/>
      <c r="AX91" s="172" t="str">
        <f>IFERROR(IF(AND($AR$93=VLOOKUP($AR$93,Approvers!R172:R183,1,FALSE),'Bid Tab (F&amp;B Ops and CatMan) 10'!$J47&gt;9999),"Approved By",""),"")</f>
        <v/>
      </c>
      <c r="AY91" s="172"/>
      <c r="AZ91" s="172" t="str">
        <f>IFERROR(IF(AND($AR$93=VLOOKUP($AR$93,Approvers!R57:R59,1,FALSE),'Bid Tab (F&amp;B Ops and CatMan) 10'!$J47&gt;14999),"Approved By",""),"")</f>
        <v/>
      </c>
      <c r="BA91" s="175"/>
      <c r="BB91" s="173" t="str">
        <f>IFERROR(IF(AND($AR$93=VLOOKUP($AR$93,Approvers!R62:R84,1,FALSE),'Bid Tab (F&amp;B Ops and CatMan) 10'!$J47&gt;24999),"Approved By",""),"")</f>
        <v/>
      </c>
      <c r="BC91" s="3"/>
      <c r="BD91" s="193" t="str">
        <f>IFERROR(IF(AND($AR$93=VLOOKUP($AR$93,Approvers!R37:R39,1,FALSE),'Bid Tab (F&amp;B Ops and CatMan) 10'!$J47&gt;49999),"Approved By",""),"")</f>
        <v/>
      </c>
      <c r="BF91" s="172" t="str">
        <f>IFERROR(IF(AND($AR$93=VLOOKUP($AR$93,Approvers!$R$34,1,FALSE),'Bid Tab (F&amp;B Ops and CatMan) 10'!$J47&gt;999999,Approvers!$I$34=Approvers!$AH$1),"Approved By",""),"")</f>
        <v/>
      </c>
      <c r="BG91" s="193"/>
      <c r="BH91" s="172" t="str">
        <f>IFERROR(IF(AND($AR$93=VLOOKUP($AR$93,Approvers!$R$34,1,FALSE),'Bid Tab (F&amp;B Ops and CatMan) 10'!$J47&gt;999999,Approvers!$AH$1=Approvers!$I$35),"Approved By",""),"")</f>
        <v/>
      </c>
      <c r="BJ91" s="172" t="str">
        <f>IFERROR(IF(AND($AR$93=VLOOKUP($AR$93,Approvers!$R$28:$R$33,1,FALSE),'Bid Tab (F&amp;B Ops and CatMan) 10'!$J47&gt;4999999),"Approved By",""),"")</f>
        <v/>
      </c>
      <c r="BK91" s="3"/>
      <c r="BL91" s="172" t="str">
        <f>IFERROR(IF(AND($AR$93=VLOOKUP($AR$93,Approvers!$R$40,1,FALSE),'Bid Tab (F&amp;B Ops and CatMan) 10'!$J47&gt;4999999),"Approved By",""),"")</f>
        <v/>
      </c>
      <c r="BM91" s="172"/>
      <c r="BN91" s="172" t="str">
        <f>IFERROR(IF(AND($AR$93=VLOOKUP($AR$93,Approvers!$R$42:$R$44,1,FALSE),'Bid Tab (F&amp;B Ops and CatMan) 10'!$J47&gt;4999999),"Approved By",""),"")</f>
        <v/>
      </c>
      <c r="BP91" s="172" t="str">
        <f>IFERROR(IF(AND($AR$93=VLOOKUP($AR$93,Approvers!$R$45,1,FALSE),'Bid Tab (F&amp;B Ops and CatMan) 10'!$J47&gt;4999999),"Approved By",""),"")</f>
        <v/>
      </c>
      <c r="BR91" s="172" t="str">
        <f>IFERROR(IF(AND($AR$93=VLOOKUP($AR$93,Approvers!$R$47,1,FALSE),'Bid Tab (F&amp;B Ops and CatMan) 10'!$J47&gt;4999999),"Approved By",""),"")</f>
        <v/>
      </c>
      <c r="BS91" s="3"/>
      <c r="BT91" s="172" t="str">
        <f>IFERROR(IF(AND($AR$93=VLOOKUP($AR$93,Approvers!$R$48,1,FALSE),'Bid Tab (F&amp;B Ops and CatMan) 10'!$J47&gt;4999999),"Approved By",""),"")</f>
        <v/>
      </c>
      <c r="BU91" s="3"/>
      <c r="BV91" s="172" t="str">
        <f>IFERROR(IF(AND($AR$93=VLOOKUP($AR$93,Approvers!$R$54:$R$56,1,FALSE),'Bid Tab (F&amp;B Ops and CatMan) 10'!$J47&gt;4999999),"Approved By",""),"")</f>
        <v/>
      </c>
      <c r="BX91" s="247" t="str">
        <f>IFERROR(IF(AND($AU$93=VLOOKUP($AU$93,Approvers!$T$128:$T$130,1,FALSE)),"Approved By",""),"")</f>
        <v/>
      </c>
    </row>
    <row r="92" spans="1:76" ht="20.25" customHeight="1" x14ac:dyDescent="0.25">
      <c r="A92" s="65"/>
      <c r="B92" s="65"/>
      <c r="D92" s="65"/>
      <c r="E92" s="65"/>
      <c r="F92" s="65"/>
      <c r="G92" s="65"/>
      <c r="H92" s="65"/>
      <c r="I92" s="65"/>
      <c r="J92" s="65"/>
      <c r="K92" s="65"/>
      <c r="M92" s="3"/>
      <c r="AC92" s="37"/>
      <c r="AI92" s="175"/>
      <c r="AJ92" s="175"/>
      <c r="AK92" s="175"/>
      <c r="AL92" s="175"/>
      <c r="AM92" s="175"/>
      <c r="AN92" s="175"/>
      <c r="AO92" s="175"/>
      <c r="AP92" s="37"/>
      <c r="AQ92" s="37"/>
      <c r="AR92" s="175"/>
      <c r="AS92" s="175"/>
      <c r="AT92" s="175"/>
      <c r="AU92" s="175"/>
      <c r="AV92" s="175"/>
      <c r="AW92" s="175"/>
      <c r="AX92" s="175"/>
      <c r="AY92" s="175"/>
      <c r="AZ92" s="175"/>
      <c r="BA92" s="175"/>
      <c r="BB92" s="175"/>
      <c r="BC92" s="175"/>
      <c r="BD92" s="175"/>
      <c r="BE92" s="175"/>
      <c r="BF92" s="175"/>
      <c r="BG92" s="175"/>
      <c r="BH92" s="175"/>
      <c r="BI92" s="175"/>
      <c r="BJ92" s="175"/>
      <c r="BK92" s="175"/>
      <c r="BL92" s="175"/>
      <c r="BM92" s="175"/>
      <c r="BN92" s="175"/>
      <c r="BP92" s="175"/>
      <c r="BR92" s="175"/>
      <c r="BS92" s="175"/>
      <c r="BT92" s="175"/>
      <c r="BU92" s="175"/>
      <c r="BV92" s="175"/>
    </row>
    <row r="93" spans="1:76" ht="20.25" customHeight="1" x14ac:dyDescent="0.3">
      <c r="G93" s="3" t="str">
        <f>IF($J$47&gt;=100001,VLOOKUP($B87,Reference!$G$2:$K$53,3,FALSE),"")</f>
        <v/>
      </c>
      <c r="M93" s="3"/>
      <c r="AC93" s="37"/>
      <c r="AI93" s="179" t="str">
        <f>IFERROR(VLOOKUP(Approvers!$AH$1,Approvers!$I:$L,4,FALSE),"")</f>
        <v/>
      </c>
      <c r="AJ93" s="179"/>
      <c r="AK93" s="179"/>
      <c r="AL93" s="179" t="str">
        <f>IFERROR(VLOOKUP(Approvers!$AH$1,Approvers!$I:$N,6,FALSE),"")</f>
        <v/>
      </c>
      <c r="AM93" s="175"/>
      <c r="AN93" s="179"/>
      <c r="AO93" s="179" t="str">
        <f>IFERROR(VLOOKUP(Approvers!$AH$1,Approvers!$I:$P,8,FALSE),"")</f>
        <v/>
      </c>
      <c r="AR93" s="179" t="str">
        <f>IFERROR(VLOOKUP(Approvers!$AH$1,Approvers!$I:$T,10,FALSE),"")</f>
        <v/>
      </c>
      <c r="AS93" s="175"/>
      <c r="AT93" s="179"/>
      <c r="AU93" s="179" t="str">
        <f>IFERROR(VLOOKUP(Approvers!$AH$1,Approvers!$I:$T,12,FALSE),"")</f>
        <v/>
      </c>
      <c r="AV93" s="179"/>
      <c r="AW93" s="179"/>
      <c r="AX93" s="179" t="str">
        <f>IFERROR(IF(AND($AR$93=VLOOKUP($AR$93,Approvers!R172:R183,1,FALSE),'Bid Tab (F&amp;B Ops and CatMan) 10'!$J47&gt;9999),Approvers!$U$172,""),"")</f>
        <v/>
      </c>
      <c r="AY93" s="179"/>
      <c r="AZ93" s="179" t="str">
        <f>IFERROR(IF(AND($AR$93=VLOOKUP($AR$93,Approvers!R57:R59,1,FALSE),'Bid Tab (F&amp;B Ops and CatMan) 10'!$J47&gt;14999),Approvers!$V$57,""),"")</f>
        <v/>
      </c>
      <c r="BA93" s="182"/>
      <c r="BB93" s="175" t="str">
        <f>IFERROR(IF(AND($AR$93=VLOOKUP($AR$93,Approvers!R62:R84,1,FALSE),'Bid Tab (F&amp;B Ops and CatMan) 10'!$J47&gt;24999),Approvers!$W$62,""),"")</f>
        <v/>
      </c>
      <c r="BD93" s="179" t="str">
        <f>IFERROR(IF(AND($AR$93=VLOOKUP($AR$93,Approvers!R37:R39,1,FALSE),'Bid Tab (F&amp;B Ops and CatMan) 10'!$J47&gt;49999),Approvers!$X$37,""),"")</f>
        <v/>
      </c>
      <c r="BF93" s="179" t="str">
        <f>IFERROR(IF(AND($AR$93=VLOOKUP($AR$93,Approvers!$R$34,1,FALSE),'Bid Tab (F&amp;B Ops and CatMan) 10'!$J47&gt;999999,Approvers!$I$34=Approvers!$AH$1),Approvers!$Y$34,""),"")</f>
        <v/>
      </c>
      <c r="BG93" s="179"/>
      <c r="BH93" s="179" t="str">
        <f>IFERROR(IF(AND($AR$93=VLOOKUP($AR$93,Approvers!$R$34,1,FALSE),'Bid Tab (F&amp;B Ops and CatMan) 10'!$J47&gt;999999,Approvers!$AH$1=Approvers!$I$35),Approvers!$Y$35,""),"")</f>
        <v/>
      </c>
      <c r="BJ93" s="179" t="str">
        <f>IFERROR(IF(AND($AR$93=VLOOKUP($AR$93,Approvers!$R$28:$R$33,1,FALSE),'Bid Tab (F&amp;B Ops and CatMan) 10'!$J47&gt;4999999),Approvers!$Z$28,""),"")</f>
        <v/>
      </c>
      <c r="BL93" s="172" t="str">
        <f>IFERROR(IF(AND($AR$93=VLOOKUP($AR$93,Approvers!$R$40,1,FALSE),'Bid Tab (F&amp;B Ops and CatMan) 10'!$J47&gt;4999999),Approvers!$Z$40,""),"")</f>
        <v/>
      </c>
      <c r="BM93" s="172"/>
      <c r="BN93" s="172" t="str">
        <f>IFERROR(IF(AND($AR$93=VLOOKUP($AR$93,Approvers!$R$42:$R$44,1,FALSE),'Bid Tab (F&amp;B Ops and CatMan) 10'!$J47&gt;4999999),Approvers!$Z$42,""),"")</f>
        <v/>
      </c>
      <c r="BP93" s="172" t="str">
        <f>IFERROR(IF(AND($AR$93=VLOOKUP($AR$93,Approvers!$R$45,1,FALSE),'Bid Tab (F&amp;B Ops and CatMan) 10'!$J47&gt;4999999),Approvers!$Z$45,""),"")</f>
        <v/>
      </c>
      <c r="BR93" s="172" t="str">
        <f>IFERROR(IF(AND($AR$93=VLOOKUP($AR$93,Approvers!$R$47,1,FALSE),'Bid Tab (F&amp;B Ops and CatMan) 10'!$J47&gt;4999999),Approvers!$Z$47,""),"")</f>
        <v/>
      </c>
      <c r="BT93" s="172" t="str">
        <f>IFERROR(IF(AND($AR$93=VLOOKUP($AR$93,Approvers!$R$48,1,FALSE),'Bid Tab (F&amp;B Ops and CatMan) 10'!$J47&gt;4999999),Approvers!$Z$48,""),"")</f>
        <v/>
      </c>
      <c r="BV93" s="172" t="str">
        <f>IFERROR(IF(AND($AR$93=VLOOKUP($AR$93,Approvers!$R$54:$R$56,1,FALSE),'Bid Tab (F&amp;B Ops and CatMan) 10'!$J47&gt;4999999),Approvers!$Z$54,""),"")</f>
        <v/>
      </c>
      <c r="BX93" s="248" t="str">
        <f>IFERROR(IF(AND($AU$93=VLOOKUP($AU$93,Approvers!$T$128:$T$130,1,FALSE)),"Andreas Balla",""),"")</f>
        <v/>
      </c>
    </row>
    <row r="94" spans="1:76" ht="20.25" customHeight="1" x14ac:dyDescent="0.25">
      <c r="M94" s="3"/>
      <c r="AC94" s="37"/>
      <c r="AR94" s="182"/>
      <c r="AS94" s="182"/>
      <c r="AT94" s="185"/>
      <c r="AU94" s="185"/>
      <c r="AV94" s="182"/>
      <c r="AW94" s="182"/>
      <c r="AX94" s="65" t="str">
        <f>TEXT(AX95,)</f>
        <v/>
      </c>
      <c r="AY94" s="179"/>
      <c r="AZ94" s="65" t="str">
        <f>TEXT(AZ95,)</f>
        <v/>
      </c>
      <c r="BA94" s="65"/>
      <c r="BB94" s="65" t="str">
        <f>TEXT(BB95,)</f>
        <v/>
      </c>
      <c r="BD94" s="65" t="str">
        <f>TEXT(BD95,)</f>
        <v/>
      </c>
      <c r="BF94" s="65" t="str">
        <f>TEXT(BF95,)</f>
        <v/>
      </c>
      <c r="BH94" s="65" t="str">
        <f>TEXT(BH95,)</f>
        <v/>
      </c>
    </row>
    <row r="95" spans="1:76" ht="20.25" customHeight="1" x14ac:dyDescent="0.3">
      <c r="M95" s="3"/>
      <c r="AC95" s="37"/>
      <c r="AR95" s="65"/>
      <c r="AS95" s="65"/>
      <c r="AT95" s="65"/>
      <c r="AU95" s="65"/>
      <c r="AV95" s="65"/>
      <c r="AW95" s="65"/>
      <c r="AX95" s="172" t="str">
        <f>IFERROR(IF(AND($AR$93=VLOOKUP($AR$93,Approvers!$R$28:$R$33,1,FALSE),'Bid Tab (F&amp;B Ops and CatMan) 10'!$J47&gt;9999999),"Approved By",""),"")</f>
        <v/>
      </c>
      <c r="AZ95" s="172" t="str">
        <f>IFERROR(IF(AND($AR$93=VLOOKUP($AR$93,Approvers!$R$40:$R$44,1,FALSE),'Bid Tab (F&amp;B Ops and CatMan) 10'!$J47&gt;9999999),"Approved By",""),"")</f>
        <v/>
      </c>
      <c r="BB95" s="172" t="str">
        <f>IFERROR(IF(AND($AR$93=VLOOKUP($AR$93,Approvers!$R$45:$R$47,1,FALSE),'Bid Tab (F&amp;B Ops and CatMan) 10'!$J47&gt;9999999),"Approved By",""),"")</f>
        <v/>
      </c>
      <c r="BD95" s="172" t="str">
        <f>IFERROR(IF(AND($AR$93=VLOOKUP($AR$93,Approvers!$R$49,1,FALSE),'Bid Tab (F&amp;B Ops and CatMan) 10'!$J47&gt;9999999),"Approved By",""),"")</f>
        <v/>
      </c>
      <c r="BF95" s="172" t="str">
        <f>IFERROR(IF(AND($AR$93=VLOOKUP($AR$93,Approvers!$R$54:$R$56,1,FALSE),'Bid Tab (F&amp;B Ops and CatMan) 10'!$J47&gt;9999999),"Approved By",""),"")</f>
        <v/>
      </c>
      <c r="BH95" s="172" t="str">
        <f>IFERROR(IF(AND($AR$93=VLOOKUP($AR$93,Approvers!$R$162:$R$164,1,FALSE),'Bid Tab (F&amp;B Ops and CatMan) 10'!$J47&gt;9999999),"Approved By",""),"")</f>
        <v/>
      </c>
    </row>
    <row r="96" spans="1:76" ht="20.25" customHeight="1" x14ac:dyDescent="0.25">
      <c r="M96" s="3"/>
      <c r="AC96" s="37"/>
      <c r="AX96" s="175" t="str">
        <f t="shared" ref="AX96:BH96" si="119">TEXT(AX95,)</f>
        <v/>
      </c>
      <c r="AY96" s="175"/>
      <c r="AZ96" s="175" t="str">
        <f t="shared" si="119"/>
        <v/>
      </c>
      <c r="BA96" s="175"/>
      <c r="BB96" s="175" t="str">
        <f t="shared" si="119"/>
        <v/>
      </c>
      <c r="BC96" s="175"/>
      <c r="BD96" s="175" t="str">
        <f t="shared" si="119"/>
        <v/>
      </c>
      <c r="BE96" s="175"/>
      <c r="BF96" s="175" t="str">
        <f t="shared" si="119"/>
        <v/>
      </c>
      <c r="BG96" s="175"/>
      <c r="BH96" s="175" t="str">
        <f t="shared" si="119"/>
        <v/>
      </c>
    </row>
    <row r="97" spans="13:60" ht="20.25" customHeight="1" x14ac:dyDescent="0.3">
      <c r="M97" s="3"/>
      <c r="AC97" s="37"/>
      <c r="AX97" s="172" t="str">
        <f>IFERROR(IF(AND($AR$93=VLOOKUP($AR$93,Approvers!$R$28:$R$33,1,FALSE),'Bid Tab (F&amp;B Ops and CatMan) 10'!$J47&gt;9999999),Approvers!$AA$28,""),"")</f>
        <v/>
      </c>
      <c r="AZ97" s="172" t="str">
        <f>IFERROR(IF(AND($AR$93=VLOOKUP($AR$93,Approvers!$R$40:$R$44,1,FALSE),'Bid Tab (F&amp;B Ops and CatMan) 10'!$J47&gt;9999999),Approvers!$AA$40,""),"")</f>
        <v/>
      </c>
      <c r="BB97" s="172" t="str">
        <f>IFERROR(IF(AND($AR$93=VLOOKUP($AR$93,Approvers!$R$45:$R$47,1,FALSE),'Bid Tab (F&amp;B Ops and CatMan) 10'!$J47&gt;9999999),Approvers!$AA$45,""),"")</f>
        <v/>
      </c>
      <c r="BD97" s="172" t="str">
        <f>IFERROR(IF(AND($AR$93=VLOOKUP($AR$93,Approvers!$R$49,1,FALSE),'Bid Tab (F&amp;B Ops and CatMan) 10'!$J47&gt;9999999),Approvers!$AA$49,""),"")</f>
        <v/>
      </c>
      <c r="BF97" s="172" t="str">
        <f>IFERROR(IF(AND($AR$93=VLOOKUP($AR$93,Approvers!$R$54:$R$56,1,FALSE),'Bid Tab (F&amp;B Ops and CatMan) 10'!$J47&gt;9999999),Approvers!$AA$54,""),"")</f>
        <v/>
      </c>
      <c r="BH97" s="172" t="str">
        <f>IFERROR(IF(AND($AR$93=VLOOKUP($AR$93,Approvers!$R$162:$R$164,1,FALSE),'Bid Tab (F&amp;B Ops and CatMan) 10'!$J47&gt;9999999),Approvers!$AA$162,""),"")</f>
        <v/>
      </c>
    </row>
    <row r="98" spans="13:60" ht="20.25" customHeight="1" x14ac:dyDescent="0.25">
      <c r="M98" s="3"/>
      <c r="AC98" s="37"/>
    </row>
    <row r="99" spans="13:60" ht="20.25" customHeight="1" x14ac:dyDescent="0.3">
      <c r="M99" s="3"/>
      <c r="AC99" s="37"/>
      <c r="AX99" s="172" t="str">
        <f>IFERROR(IF(AND($AR$93=VLOOKUP($AR$93,Approvers!$R$49:$R$49,1,FALSE),'Bid Tab (F&amp;B Ops and CatMan) 10'!$J47&gt;14999999),"Approved By",""),"")</f>
        <v/>
      </c>
      <c r="AZ99" s="172" t="str">
        <f>IFERROR(IF(AND($AR$93=VLOOKUP($AR$93,Approvers!$R$34:$R$36,1,FALSE),'Bid Tab (F&amp;B Ops and CatMan) 10'!$J47&gt;19999999),"Approved By",""),"")</f>
        <v/>
      </c>
    </row>
    <row r="100" spans="13:60" ht="20.25" customHeight="1" x14ac:dyDescent="0.25">
      <c r="M100" s="3"/>
      <c r="AC100" s="37"/>
    </row>
    <row r="101" spans="13:60" ht="20.25" customHeight="1" x14ac:dyDescent="0.3">
      <c r="M101" s="3"/>
      <c r="AC101" s="37"/>
      <c r="AX101" s="172" t="str">
        <f>IFERROR(IF(AND($AR$93=VLOOKUP($AR$93,Approvers!$R$49:$R$49,1,FALSE),'Bid Tab (F&amp;B Ops and CatMan) 10'!$J47&gt;14999999),Approvers!$AB$49,""),"")</f>
        <v/>
      </c>
      <c r="AZ101" s="172" t="str">
        <f>IFERROR(IF(AND($AR$93=VLOOKUP($AR$93,Approvers!$R$34:$R$36,1,FALSE),'Bid Tab (F&amp;B Ops and CatMan) 10'!$J47&gt;19999999),Approvers!$AC$34,""),"")</f>
        <v/>
      </c>
    </row>
    <row r="102" spans="13:60" ht="20.25" customHeight="1" x14ac:dyDescent="0.25">
      <c r="M102" s="3"/>
      <c r="AC102" s="37"/>
    </row>
    <row r="103" spans="13:60" ht="20.25" customHeight="1" x14ac:dyDescent="0.25">
      <c r="M103" s="3"/>
      <c r="AC103" s="37"/>
    </row>
    <row r="104" spans="13:60" ht="20.25" customHeight="1" x14ac:dyDescent="0.25">
      <c r="M104" s="3"/>
      <c r="AC104" s="37"/>
    </row>
    <row r="105" spans="13:60" ht="20.25" customHeight="1" x14ac:dyDescent="0.25">
      <c r="M105" s="3"/>
      <c r="AC105" s="37"/>
    </row>
    <row r="106" spans="13:60" ht="20.25" customHeight="1" x14ac:dyDescent="0.25">
      <c r="M106" s="3"/>
      <c r="AC106" s="37"/>
    </row>
    <row r="107" spans="13:60" x14ac:dyDescent="0.25">
      <c r="M107" s="3"/>
      <c r="AC107" s="37"/>
    </row>
    <row r="108" spans="13:60" x14ac:dyDescent="0.25">
      <c r="M108" s="3"/>
      <c r="AC108" s="37"/>
    </row>
    <row r="109" spans="13:60" x14ac:dyDescent="0.25">
      <c r="M109" s="3"/>
      <c r="AC109" s="37"/>
    </row>
    <row r="110" spans="13:60" x14ac:dyDescent="0.25">
      <c r="M110" s="3"/>
      <c r="AC110" s="37"/>
    </row>
    <row r="111" spans="13:60" x14ac:dyDescent="0.25">
      <c r="M111" s="3"/>
      <c r="AC111" s="37"/>
    </row>
    <row r="112" spans="13:60" x14ac:dyDescent="0.25">
      <c r="M112" s="3"/>
      <c r="AC112" s="37"/>
    </row>
    <row r="113" spans="13:50" x14ac:dyDescent="0.25">
      <c r="M113" s="3"/>
      <c r="AC113" s="37"/>
    </row>
    <row r="114" spans="13:50" x14ac:dyDescent="0.25">
      <c r="M114" s="3"/>
      <c r="AC114" s="37"/>
    </row>
    <row r="115" spans="13:50" x14ac:dyDescent="0.25">
      <c r="M115" s="3"/>
      <c r="AC115" s="37"/>
    </row>
    <row r="116" spans="13:50" x14ac:dyDescent="0.25">
      <c r="M116" s="3"/>
      <c r="AC116" s="37"/>
    </row>
    <row r="117" spans="13:50" x14ac:dyDescent="0.25">
      <c r="M117" s="3"/>
      <c r="AC117" s="37"/>
    </row>
    <row r="118" spans="13:50" x14ac:dyDescent="0.25">
      <c r="M118" s="3"/>
      <c r="AC118" s="37"/>
    </row>
    <row r="119" spans="13:50" x14ac:dyDescent="0.25">
      <c r="M119" s="3"/>
      <c r="AC119" s="37"/>
    </row>
    <row r="120" spans="13:50" x14ac:dyDescent="0.25">
      <c r="M120" s="3"/>
      <c r="AC120" s="37"/>
    </row>
    <row r="121" spans="13:50" x14ac:dyDescent="0.25">
      <c r="M121" s="3"/>
      <c r="AC121" s="37"/>
    </row>
    <row r="122" spans="13:50" x14ac:dyDescent="0.25">
      <c r="M122" s="3"/>
      <c r="AC122" s="37"/>
    </row>
    <row r="123" spans="13:50" x14ac:dyDescent="0.25">
      <c r="M123" s="3"/>
      <c r="AC123" s="37"/>
    </row>
    <row r="124" spans="13:50" x14ac:dyDescent="0.25">
      <c r="M124" s="3"/>
      <c r="AC124" s="37"/>
    </row>
    <row r="125" spans="13:50" x14ac:dyDescent="0.25">
      <c r="M125" s="3"/>
      <c r="AC125" s="37"/>
    </row>
    <row r="126" spans="13:50" ht="20.25" x14ac:dyDescent="0.25">
      <c r="AR126" s="173"/>
      <c r="AT126" s="173"/>
      <c r="AX126" s="173"/>
    </row>
    <row r="127" spans="13:50" ht="20.25" x14ac:dyDescent="0.25">
      <c r="AR127" s="175"/>
      <c r="AT127" s="175"/>
      <c r="AX127" s="175"/>
    </row>
    <row r="128" spans="13:50" ht="20.25" x14ac:dyDescent="0.25">
      <c r="AR128" s="175"/>
      <c r="AT128" s="175"/>
      <c r="AX128" s="175"/>
    </row>
  </sheetData>
  <autoFilter ref="A10:CQ48"/>
  <dataConsolidate/>
  <mergeCells count="282">
    <mergeCell ref="C64:AN64"/>
    <mergeCell ref="D88:G88"/>
    <mergeCell ref="AJ8:AO8"/>
    <mergeCell ref="AP8:AU8"/>
    <mergeCell ref="AV8:BA8"/>
    <mergeCell ref="CO42:CQ42"/>
    <mergeCell ref="CL43:CN43"/>
    <mergeCell ref="CO43:CQ43"/>
    <mergeCell ref="BN38:BS38"/>
    <mergeCell ref="CO34:CQ34"/>
    <mergeCell ref="CL35:CQ35"/>
    <mergeCell ref="CL36:CQ36"/>
    <mergeCell ref="CL40:CQ40"/>
    <mergeCell ref="CL41:CN41"/>
    <mergeCell ref="CO41:CQ41"/>
    <mergeCell ref="CI34:CK34"/>
    <mergeCell ref="CF35:CK35"/>
    <mergeCell ref="CF36:CK36"/>
    <mergeCell ref="CF40:CK40"/>
    <mergeCell ref="CF37:CK37"/>
    <mergeCell ref="CF38:CK38"/>
    <mergeCell ref="CL37:CQ37"/>
    <mergeCell ref="CL38:CQ38"/>
    <mergeCell ref="CI41:CK41"/>
    <mergeCell ref="BZ38:CE38"/>
    <mergeCell ref="CF41:CH41"/>
    <mergeCell ref="AV48:BA48"/>
    <mergeCell ref="BB52:BG52"/>
    <mergeCell ref="BT50:BY50"/>
    <mergeCell ref="BZ48:CE48"/>
    <mergeCell ref="AJ48:AO48"/>
    <mergeCell ref="AP48:AU48"/>
    <mergeCell ref="BN48:BS48"/>
    <mergeCell ref="BH48:BM48"/>
    <mergeCell ref="BB48:BG48"/>
    <mergeCell ref="BB50:BG50"/>
    <mergeCell ref="BH50:BM50"/>
    <mergeCell ref="BB51:BG51"/>
    <mergeCell ref="BH51:BM51"/>
    <mergeCell ref="BT48:BY48"/>
    <mergeCell ref="AV50:BA50"/>
    <mergeCell ref="BZ50:CE50"/>
    <mergeCell ref="BZ51:CE51"/>
    <mergeCell ref="BZ52:CE52"/>
    <mergeCell ref="AJ50:AO50"/>
    <mergeCell ref="BH52:BM52"/>
    <mergeCell ref="AP50:AU50"/>
    <mergeCell ref="AJ51:AO51"/>
    <mergeCell ref="AP51:AU51"/>
    <mergeCell ref="AJ52:AO52"/>
    <mergeCell ref="BZ44:CB44"/>
    <mergeCell ref="CC44:CE44"/>
    <mergeCell ref="CF44:CH44"/>
    <mergeCell ref="BZ42:CB42"/>
    <mergeCell ref="CC42:CE42"/>
    <mergeCell ref="BZ43:CB43"/>
    <mergeCell ref="CC43:CE43"/>
    <mergeCell ref="BT44:BV44"/>
    <mergeCell ref="BN42:BP42"/>
    <mergeCell ref="BK43:BM43"/>
    <mergeCell ref="BE44:BG44"/>
    <mergeCell ref="BT52:BY52"/>
    <mergeCell ref="BW44:BY44"/>
    <mergeCell ref="AP44:AR44"/>
    <mergeCell ref="AS44:AU44"/>
    <mergeCell ref="AJ42:AL42"/>
    <mergeCell ref="AJ44:AL44"/>
    <mergeCell ref="BE42:BG42"/>
    <mergeCell ref="BE43:BG43"/>
    <mergeCell ref="CI43:CK43"/>
    <mergeCell ref="CL42:CN42"/>
    <mergeCell ref="CI44:CK44"/>
    <mergeCell ref="CF48:CK48"/>
    <mergeCell ref="CI42:CK42"/>
    <mergeCell ref="CF42:CH42"/>
    <mergeCell ref="CF43:CH43"/>
    <mergeCell ref="CL44:CN44"/>
    <mergeCell ref="CL50:CQ50"/>
    <mergeCell ref="CF50:CK50"/>
    <mergeCell ref="CF56:CK56"/>
    <mergeCell ref="CL56:CQ56"/>
    <mergeCell ref="CF53:CK53"/>
    <mergeCell ref="CF54:CK54"/>
    <mergeCell ref="CO44:CQ44"/>
    <mergeCell ref="CF52:CK52"/>
    <mergeCell ref="CL48:CQ48"/>
    <mergeCell ref="CF51:CK51"/>
    <mergeCell ref="CL51:CQ51"/>
    <mergeCell ref="CL52:CQ52"/>
    <mergeCell ref="BT53:BY53"/>
    <mergeCell ref="BT54:BY54"/>
    <mergeCell ref="BT51:BY51"/>
    <mergeCell ref="BZ58:CE58"/>
    <mergeCell ref="BZ54:CE54"/>
    <mergeCell ref="BZ55:CE55"/>
    <mergeCell ref="BZ56:CE56"/>
    <mergeCell ref="CL58:CQ58"/>
    <mergeCell ref="BN58:BS58"/>
    <mergeCell ref="BN55:BS55"/>
    <mergeCell ref="BT55:BY55"/>
    <mergeCell ref="BN56:BS56"/>
    <mergeCell ref="BT56:BY56"/>
    <mergeCell ref="BZ53:CE53"/>
    <mergeCell ref="BZ57:CE57"/>
    <mergeCell ref="BT58:BY58"/>
    <mergeCell ref="BT57:BY57"/>
    <mergeCell ref="CL53:CQ53"/>
    <mergeCell ref="CL54:CQ54"/>
    <mergeCell ref="CL57:CQ57"/>
    <mergeCell ref="CF58:CK58"/>
    <mergeCell ref="CF57:CK57"/>
    <mergeCell ref="CF55:CK55"/>
    <mergeCell ref="CL55:CQ55"/>
    <mergeCell ref="BN54:BS54"/>
    <mergeCell ref="BN57:BS57"/>
    <mergeCell ref="BN50:BS50"/>
    <mergeCell ref="BN51:BS51"/>
    <mergeCell ref="BN52:BS52"/>
    <mergeCell ref="BN53:BS53"/>
    <mergeCell ref="BQ44:BS44"/>
    <mergeCell ref="BK42:BM42"/>
    <mergeCell ref="BQ41:BS41"/>
    <mergeCell ref="BN44:BP44"/>
    <mergeCell ref="BH54:BM54"/>
    <mergeCell ref="BH42:BJ42"/>
    <mergeCell ref="BH44:BJ44"/>
    <mergeCell ref="BH43:BJ43"/>
    <mergeCell ref="BK44:BM44"/>
    <mergeCell ref="BT41:BV41"/>
    <mergeCell ref="BW41:BY41"/>
    <mergeCell ref="BT42:BV42"/>
    <mergeCell ref="BW42:BY42"/>
    <mergeCell ref="BT43:BV43"/>
    <mergeCell ref="BW43:BY43"/>
    <mergeCell ref="BQ42:BS42"/>
    <mergeCell ref="BN43:BP43"/>
    <mergeCell ref="BQ43:BS43"/>
    <mergeCell ref="AJ32:AO32"/>
    <mergeCell ref="AP36:AU36"/>
    <mergeCell ref="AM43:AO43"/>
    <mergeCell ref="AV44:AX44"/>
    <mergeCell ref="AY44:BA44"/>
    <mergeCell ref="AM42:AO42"/>
    <mergeCell ref="AP41:AR41"/>
    <mergeCell ref="BB42:BD42"/>
    <mergeCell ref="AM44:AO44"/>
    <mergeCell ref="BB43:BD43"/>
    <mergeCell ref="AJ36:AO36"/>
    <mergeCell ref="AJ38:AO38"/>
    <mergeCell ref="AP38:AU38"/>
    <mergeCell ref="AP43:AR43"/>
    <mergeCell ref="AS43:AU43"/>
    <mergeCell ref="BB44:BD44"/>
    <mergeCell ref="A9:A10"/>
    <mergeCell ref="B9:B10"/>
    <mergeCell ref="C9:C10"/>
    <mergeCell ref="E9:E10"/>
    <mergeCell ref="AJ9:AO9"/>
    <mergeCell ref="AP9:AU9"/>
    <mergeCell ref="AV9:BA9"/>
    <mergeCell ref="AJ43:AL43"/>
    <mergeCell ref="AS41:AU41"/>
    <mergeCell ref="AV40:BA40"/>
    <mergeCell ref="AY42:BA42"/>
    <mergeCell ref="AV36:BA36"/>
    <mergeCell ref="AV37:BA37"/>
    <mergeCell ref="AV38:BA38"/>
    <mergeCell ref="AV43:AX43"/>
    <mergeCell ref="AY43:BA43"/>
    <mergeCell ref="AP42:AR42"/>
    <mergeCell ref="AJ40:AO40"/>
    <mergeCell ref="AP40:AU40"/>
    <mergeCell ref="AS42:AU42"/>
    <mergeCell ref="AV42:AX42"/>
    <mergeCell ref="AS34:AU34"/>
    <mergeCell ref="AY34:BA34"/>
    <mergeCell ref="AP32:AU32"/>
    <mergeCell ref="BN35:BS35"/>
    <mergeCell ref="AP35:AU35"/>
    <mergeCell ref="AV35:BA35"/>
    <mergeCell ref="BB35:BG35"/>
    <mergeCell ref="AJ37:AO37"/>
    <mergeCell ref="AJ41:AL41"/>
    <mergeCell ref="AM41:AO41"/>
    <mergeCell ref="BH36:BM36"/>
    <mergeCell ref="AJ35:AO35"/>
    <mergeCell ref="BH40:BM40"/>
    <mergeCell ref="BH41:BJ41"/>
    <mergeCell ref="AV41:AX41"/>
    <mergeCell ref="BB41:BD41"/>
    <mergeCell ref="BH35:BM35"/>
    <mergeCell ref="BB37:BG37"/>
    <mergeCell ref="AP37:AU37"/>
    <mergeCell ref="BK41:BM41"/>
    <mergeCell ref="BB38:BG38"/>
    <mergeCell ref="BB40:BG40"/>
    <mergeCell ref="BB36:BG36"/>
    <mergeCell ref="BH37:BM37"/>
    <mergeCell ref="BH38:BM38"/>
    <mergeCell ref="BE41:BG41"/>
    <mergeCell ref="BT9:BY9"/>
    <mergeCell ref="BT32:BY32"/>
    <mergeCell ref="BW34:BY34"/>
    <mergeCell ref="BE34:BG34"/>
    <mergeCell ref="AV2:AW2"/>
    <mergeCell ref="AX2:BA2"/>
    <mergeCell ref="AV3:AW3"/>
    <mergeCell ref="AX3:BA3"/>
    <mergeCell ref="AV4:AW4"/>
    <mergeCell ref="AX4:BA4"/>
    <mergeCell ref="BH9:BM9"/>
    <mergeCell ref="BT8:BY8"/>
    <mergeCell ref="AV32:BA32"/>
    <mergeCell ref="BB32:BG32"/>
    <mergeCell ref="BH32:BM32"/>
    <mergeCell ref="BB8:BG8"/>
    <mergeCell ref="BH8:BM8"/>
    <mergeCell ref="BN9:BS9"/>
    <mergeCell ref="BN32:BS32"/>
    <mergeCell ref="BN8:BS8"/>
    <mergeCell ref="BQ34:BS34"/>
    <mergeCell ref="BK34:BM34"/>
    <mergeCell ref="AV54:BA54"/>
    <mergeCell ref="AV53:BA53"/>
    <mergeCell ref="BH53:BM53"/>
    <mergeCell ref="AV58:BA58"/>
    <mergeCell ref="BB58:BG58"/>
    <mergeCell ref="AJ57:AO57"/>
    <mergeCell ref="AJ58:AO58"/>
    <mergeCell ref="AP58:AU58"/>
    <mergeCell ref="AJ54:AO54"/>
    <mergeCell ref="AV57:BA57"/>
    <mergeCell ref="AJ56:AO56"/>
    <mergeCell ref="AV56:BA56"/>
    <mergeCell ref="CF9:CK9"/>
    <mergeCell ref="CF32:CK32"/>
    <mergeCell ref="CL9:CQ9"/>
    <mergeCell ref="CL32:CQ32"/>
    <mergeCell ref="BB9:BG9"/>
    <mergeCell ref="BZ9:CE9"/>
    <mergeCell ref="BZ32:CE32"/>
    <mergeCell ref="AY41:BA41"/>
    <mergeCell ref="CC34:CE34"/>
    <mergeCell ref="BN36:BS36"/>
    <mergeCell ref="BN40:BS40"/>
    <mergeCell ref="BN41:BP41"/>
    <mergeCell ref="BN37:BS37"/>
    <mergeCell ref="BT35:BY35"/>
    <mergeCell ref="BT36:BY36"/>
    <mergeCell ref="BT40:BY40"/>
    <mergeCell ref="BT37:BY37"/>
    <mergeCell ref="BT38:BY38"/>
    <mergeCell ref="BZ35:CE35"/>
    <mergeCell ref="BZ36:CE36"/>
    <mergeCell ref="BZ40:CE40"/>
    <mergeCell ref="BZ41:CB41"/>
    <mergeCell ref="CC41:CE41"/>
    <mergeCell ref="BZ37:CE37"/>
    <mergeCell ref="I88:J88"/>
    <mergeCell ref="BB56:BG56"/>
    <mergeCell ref="BH56:BM56"/>
    <mergeCell ref="AP52:AU52"/>
    <mergeCell ref="BB53:BG53"/>
    <mergeCell ref="AV51:BA51"/>
    <mergeCell ref="AV52:BA52"/>
    <mergeCell ref="AJ55:AO55"/>
    <mergeCell ref="AP55:AU55"/>
    <mergeCell ref="AV55:BA55"/>
    <mergeCell ref="BB55:BG55"/>
    <mergeCell ref="BH55:BM55"/>
    <mergeCell ref="AP56:AU56"/>
    <mergeCell ref="AO65:AS65"/>
    <mergeCell ref="AT65:AU65"/>
    <mergeCell ref="BB57:BG57"/>
    <mergeCell ref="BH57:BM57"/>
    <mergeCell ref="AJ53:AO53"/>
    <mergeCell ref="AP53:AU53"/>
    <mergeCell ref="C61:AN61"/>
    <mergeCell ref="BH58:BM58"/>
    <mergeCell ref="AP54:AU54"/>
    <mergeCell ref="AP57:AU57"/>
    <mergeCell ref="BB54:BG54"/>
  </mergeCells>
  <conditionalFormatting sqref="N58:N60 P58:U60 N62:N63 P62:U63 N82:N84 P82:U84 V85:V89 N36:O43 S9:V10 P33:U35 S32:V32 M52:N57 L48:L50 M47 N48:O51 O44:P47 Q9:Q10 P1:U1 V8:AA8 N1 T8 Q32 N33:N35 P3:U7 P2 N126:N1048576 O90:O125 P126:U1048576 Q90:V125 P65:U66 N65:N66">
    <cfRule type="containsText" dxfId="30" priority="191" operator="containsText" text="FALSE">
      <formula>NOT(ISERROR(SEARCH("FALSE",L1)))</formula>
    </cfRule>
  </conditionalFormatting>
  <conditionalFormatting sqref="L35">
    <cfRule type="containsText" dxfId="29" priority="62" operator="containsText" text="FALSE">
      <formula>NOT(ISERROR(SEARCH("FALSE",L35)))</formula>
    </cfRule>
  </conditionalFormatting>
  <conditionalFormatting sqref="N11:N30">
    <cfRule type="cellIs" dxfId="28" priority="11" operator="equal">
      <formula>0</formula>
    </cfRule>
  </conditionalFormatting>
  <conditionalFormatting sqref="X11:X30">
    <cfRule type="cellIs" dxfId="27" priority="10" operator="equal">
      <formula>0</formula>
    </cfRule>
  </conditionalFormatting>
  <conditionalFormatting sqref="AC11:AC30">
    <cfRule type="cellIs" dxfId="26" priority="9" operator="equal">
      <formula>0</formula>
    </cfRule>
  </conditionalFormatting>
  <conditionalFormatting sqref="AD11:AD30">
    <cfRule type="cellIs" dxfId="25" priority="8" operator="equal">
      <formula>0</formula>
    </cfRule>
  </conditionalFormatting>
  <conditionalFormatting sqref="C61:AN61">
    <cfRule type="cellIs" dxfId="24" priority="7" operator="equal">
      <formula>"Award to: "</formula>
    </cfRule>
  </conditionalFormatting>
  <conditionalFormatting sqref="Q11:Q30">
    <cfRule type="cellIs" dxfId="23" priority="6" operator="equal">
      <formula>FALSE</formula>
    </cfRule>
  </conditionalFormatting>
  <conditionalFormatting sqref="S11:S30">
    <cfRule type="cellIs" dxfId="22" priority="5" operator="equal">
      <formula>FALSE</formula>
    </cfRule>
  </conditionalFormatting>
  <conditionalFormatting sqref="V11:V30">
    <cfRule type="cellIs" dxfId="21" priority="4" operator="equal">
      <formula>FALSE</formula>
    </cfRule>
  </conditionalFormatting>
  <conditionalFormatting sqref="Y11:Y30">
    <cfRule type="cellIs" dxfId="20" priority="3" operator="equal">
      <formula>FALSE</formula>
    </cfRule>
  </conditionalFormatting>
  <conditionalFormatting sqref="B11:B30">
    <cfRule type="duplicateValues" dxfId="19" priority="1"/>
  </conditionalFormatting>
  <dataValidations count="1">
    <dataValidation type="list" allowBlank="1" showInputMessage="1" showErrorMessage="1" sqref="I4">
      <formula1>DIVISION</formula1>
    </dataValidation>
  </dataValidations>
  <printOptions horizontalCentered="1"/>
  <pageMargins left="0.25" right="0.25" top="0.75" bottom="0.75" header="0.3" footer="0.3"/>
  <pageSetup paperSize="8" scale="20" fitToHeight="0" orientation="landscape" r:id="rId1"/>
  <colBreaks count="1" manualBreakCount="1">
    <brk id="56" max="89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76" r:id="rId4" name="Check Box 28">
              <controlPr defaultSize="0" autoFill="0" autoLine="0" autoPict="0">
                <anchor moveWithCells="1">
                  <from>
                    <xdr:col>11</xdr:col>
                    <xdr:colOff>47625</xdr:colOff>
                    <xdr:row>2</xdr:row>
                    <xdr:rowOff>0</xdr:rowOff>
                  </from>
                  <to>
                    <xdr:col>11</xdr:col>
                    <xdr:colOff>962025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5" name="Check Box 29">
              <controlPr defaultSize="0" autoFill="0" autoLine="0" autoPict="0">
                <anchor moveWithCells="1">
                  <from>
                    <xdr:col>11</xdr:col>
                    <xdr:colOff>47625</xdr:colOff>
                    <xdr:row>3</xdr:row>
                    <xdr:rowOff>0</xdr:rowOff>
                  </from>
                  <to>
                    <xdr:col>11</xdr:col>
                    <xdr:colOff>962025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6" name="Check Box 30">
              <controlPr defaultSize="0" autoFill="0" autoLine="0" autoPict="0">
                <anchor moveWithCells="1">
                  <from>
                    <xdr:col>12</xdr:col>
                    <xdr:colOff>38100</xdr:colOff>
                    <xdr:row>1</xdr:row>
                    <xdr:rowOff>161925</xdr:rowOff>
                  </from>
                  <to>
                    <xdr:col>12</xdr:col>
                    <xdr:colOff>1457325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7" name="Check Box 31">
              <controlPr defaultSize="0" autoFill="0" autoLine="0" autoPict="0">
                <anchor moveWithCells="1">
                  <from>
                    <xdr:col>12</xdr:col>
                    <xdr:colOff>38100</xdr:colOff>
                    <xdr:row>2</xdr:row>
                    <xdr:rowOff>161925</xdr:rowOff>
                  </from>
                  <to>
                    <xdr:col>12</xdr:col>
                    <xdr:colOff>1457325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8" name="Check Box 32">
              <controlPr defaultSize="0" autoFill="0" autoLine="0" autoPict="0">
                <anchor moveWithCells="1">
                  <from>
                    <xdr:col>12</xdr:col>
                    <xdr:colOff>38100</xdr:colOff>
                    <xdr:row>3</xdr:row>
                    <xdr:rowOff>161925</xdr:rowOff>
                  </from>
                  <to>
                    <xdr:col>12</xdr:col>
                    <xdr:colOff>1457325</xdr:colOff>
                    <xdr:row>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9" name="Check Box 33">
              <controlPr defaultSize="0" autoFill="0" autoLine="0" autoPict="0">
                <anchor moveWithCells="1">
                  <from>
                    <xdr:col>12</xdr:col>
                    <xdr:colOff>38100</xdr:colOff>
                    <xdr:row>4</xdr:row>
                    <xdr:rowOff>161925</xdr:rowOff>
                  </from>
                  <to>
                    <xdr:col>12</xdr:col>
                    <xdr:colOff>1457325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10" name="Check Box 34">
              <controlPr defaultSize="0" autoFill="0" autoLine="0" autoPict="0">
                <anchor moveWithCells="1">
                  <from>
                    <xdr:col>12</xdr:col>
                    <xdr:colOff>38100</xdr:colOff>
                    <xdr:row>5</xdr:row>
                    <xdr:rowOff>180975</xdr:rowOff>
                  </from>
                  <to>
                    <xdr:col>12</xdr:col>
                    <xdr:colOff>1457325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11" name="Check Box 35">
              <controlPr defaultSize="0" autoFill="0" autoLine="0" autoPict="0">
                <anchor moveWithCells="1">
                  <from>
                    <xdr:col>14</xdr:col>
                    <xdr:colOff>38100</xdr:colOff>
                    <xdr:row>1</xdr:row>
                    <xdr:rowOff>161925</xdr:rowOff>
                  </from>
                  <to>
                    <xdr:col>15</xdr:col>
                    <xdr:colOff>276225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12" name="Check Box 36">
              <controlPr defaultSize="0" autoFill="0" autoLine="0" autoPict="0">
                <anchor moveWithCells="1">
                  <from>
                    <xdr:col>14</xdr:col>
                    <xdr:colOff>38100</xdr:colOff>
                    <xdr:row>2</xdr:row>
                    <xdr:rowOff>161925</xdr:rowOff>
                  </from>
                  <to>
                    <xdr:col>15</xdr:col>
                    <xdr:colOff>276225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13" name="Check Box 37">
              <controlPr defaultSize="0" autoFill="0" autoLine="0" autoPict="0">
                <anchor moveWithCells="1">
                  <from>
                    <xdr:col>14</xdr:col>
                    <xdr:colOff>38100</xdr:colOff>
                    <xdr:row>3</xdr:row>
                    <xdr:rowOff>161925</xdr:rowOff>
                  </from>
                  <to>
                    <xdr:col>15</xdr:col>
                    <xdr:colOff>276225</xdr:colOff>
                    <xdr:row>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14" name="Check Box 38">
              <controlPr defaultSize="0" autoFill="0" autoLine="0" autoPict="0">
                <anchor moveWithCells="1">
                  <from>
                    <xdr:col>14</xdr:col>
                    <xdr:colOff>38100</xdr:colOff>
                    <xdr:row>4</xdr:row>
                    <xdr:rowOff>161925</xdr:rowOff>
                  </from>
                  <to>
                    <xdr:col>15</xdr:col>
                    <xdr:colOff>276225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INDIRECT(Approvers!$AF$1)</xm:f>
          </x14:formula1>
          <xm:sqref>I5</xm:sqref>
        </x14:dataValidation>
        <x14:dataValidation type="list" allowBlank="1" showInputMessage="1" showErrorMessage="1">
          <x14:formula1>
            <xm:f>Reference!$A$13:$A$15</xm:f>
          </x14:formula1>
          <xm:sqref>AJ58:CQ58</xm:sqref>
        </x14:dataValidation>
        <x14:dataValidation type="list" allowBlank="1" showInputMessage="1" showErrorMessage="1">
          <x14:formula1>
            <xm:f>Reference!$A$2:$A$4</xm:f>
          </x14:formula1>
          <xm:sqref>AF11:AF30</xm:sqref>
        </x14:dataValidation>
        <x14:dataValidation type="list" allowBlank="1" showInputMessage="1" showErrorMessage="1">
          <x14:formula1>
            <xm:f>Reference!$G$2:$G$100</xm:f>
          </x14:formula1>
          <xm:sqref>B87</xm:sqref>
        </x14:dataValidation>
        <x14:dataValidation type="list" allowBlank="1" showInputMessage="1" showErrorMessage="1">
          <x14:formula1>
            <xm:f>Reference!$A$8:$A$10</xm:f>
          </x14:formula1>
          <xm:sqref>AO11:AO30 CQ11:CQ30 CK11:CK30 CE11:CE30 BY11:BY30 BS11:BS30 BM11:BM30 BG11:BG30 BA11:BA30 AU11:AU30</xm:sqref>
        </x14:dataValidation>
        <x14:dataValidation type="list" allowBlank="1" showInputMessage="1" showErrorMessage="1">
          <x14:formula1>
            <xm:f>Reference!E$2:E$5</xm:f>
          </x14:formula1>
          <xm:sqref>M37:M46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C1:N27"/>
  <sheetViews>
    <sheetView showGridLines="0" workbookViewId="0">
      <selection activeCell="C9" sqref="C9"/>
    </sheetView>
  </sheetViews>
  <sheetFormatPr defaultRowHeight="15" outlineLevelRow="1" x14ac:dyDescent="0.25"/>
  <cols>
    <col min="3" max="3" width="14.85546875" customWidth="1"/>
    <col min="4" max="4" width="25.5703125" customWidth="1"/>
    <col min="5" max="5" width="7.140625" bestFit="1" customWidth="1"/>
    <col min="6" max="6" width="11.5703125" bestFit="1" customWidth="1"/>
    <col min="7" max="7" width="14.85546875" customWidth="1"/>
    <col min="8" max="8" width="16.5703125" customWidth="1"/>
    <col min="9" max="9" width="17" customWidth="1"/>
    <col min="10" max="10" width="19.85546875" customWidth="1"/>
    <col min="11" max="11" width="14" customWidth="1"/>
    <col min="12" max="12" width="11.7109375" customWidth="1"/>
    <col min="13" max="13" width="12.42578125" bestFit="1" customWidth="1"/>
    <col min="14" max="14" width="13.85546875" bestFit="1" customWidth="1"/>
  </cols>
  <sheetData>
    <row r="1" spans="3:14" x14ac:dyDescent="0.25">
      <c r="H1" s="1"/>
      <c r="I1" s="1"/>
      <c r="J1" s="1"/>
      <c r="K1" s="1"/>
      <c r="L1" s="1"/>
    </row>
    <row r="2" spans="3:14" x14ac:dyDescent="0.25">
      <c r="E2" s="45"/>
      <c r="F2" s="46"/>
      <c r="G2" s="50"/>
      <c r="H2" s="50"/>
      <c r="I2" s="50"/>
      <c r="J2" s="50"/>
    </row>
    <row r="3" spans="3:14" x14ac:dyDescent="0.25">
      <c r="E3" s="2"/>
      <c r="F3" s="24"/>
      <c r="G3" s="1"/>
      <c r="H3" s="4"/>
      <c r="I3" s="4"/>
    </row>
    <row r="4" spans="3:14" x14ac:dyDescent="0.25">
      <c r="E4" s="2"/>
      <c r="F4" s="1"/>
      <c r="G4" s="170"/>
      <c r="H4" s="4"/>
      <c r="I4" s="4"/>
    </row>
    <row r="5" spans="3:14" x14ac:dyDescent="0.25">
      <c r="E5" s="64"/>
      <c r="F5" s="8"/>
      <c r="G5" s="62"/>
      <c r="H5" s="8"/>
      <c r="I5" s="8"/>
    </row>
    <row r="6" spans="3:14" x14ac:dyDescent="0.25">
      <c r="E6" s="64"/>
      <c r="F6" s="8"/>
      <c r="G6" s="62"/>
      <c r="H6" s="8"/>
      <c r="I6" s="8"/>
    </row>
    <row r="7" spans="3:14" x14ac:dyDescent="0.25">
      <c r="E7" s="2"/>
      <c r="F7" s="1"/>
      <c r="G7" s="170"/>
      <c r="H7" s="1"/>
      <c r="I7" s="1"/>
    </row>
    <row r="9" spans="3:14" ht="75" x14ac:dyDescent="0.25">
      <c r="C9" s="35" t="str">
        <f>'Bid Tab (F&amp;B Ops and CatMan) 10'!B36</f>
        <v>AWARD SUMMARY</v>
      </c>
      <c r="D9" s="94" t="str">
        <f>'Bid Tab (F&amp;B Ops and CatMan) 10'!C36</f>
        <v>GRAND TOTAL 
(EXCLUSIVE OF VAT)</v>
      </c>
      <c r="E9" s="35" t="str">
        <f>'Bid Tab (F&amp;B Ops and CatMan) 10'!D36</f>
        <v>Item Count</v>
      </c>
      <c r="F9" s="36" t="str">
        <f>'Bid Tab (F&amp;B Ops and CatMan) 10'!E36</f>
        <v>% Savings</v>
      </c>
      <c r="G9" s="35" t="str">
        <f>'Bid Tab (F&amp;B Ops and CatMan) 10'!F36</f>
        <v>Procurement Savings</v>
      </c>
      <c r="H9" s="145" t="str">
        <f>'Bid Tab (F&amp;B Ops and CatMan) 10'!G36</f>
        <v>% Award Share by Amount</v>
      </c>
      <c r="I9" s="145" t="str">
        <f>'Bid Tab (F&amp;B Ops and CatMan) 10'!H36</f>
        <v>% Award Share by Volume</v>
      </c>
      <c r="J9" s="145" t="str">
        <f>'Bid Tab (F&amp;B Ops and CatMan) 10'!I36</f>
        <v>% Award Share by SKU</v>
      </c>
      <c r="K9" s="94" t="str">
        <f>'Bid Tab (F&amp;B Ops and CatMan) 10'!J36</f>
        <v>GRAND TOTAL AWARDED
(VAT Ex / Inc)</v>
      </c>
      <c r="L9" s="35" t="str">
        <f>'Bid Tab (F&amp;B Ops and CatMan) 10'!K36</f>
        <v>BID VALIDITY</v>
      </c>
      <c r="M9" s="36" t="str">
        <f>'Bid Tab (F&amp;B Ops and CatMan) 10'!L36</f>
        <v>LEAD TIME</v>
      </c>
      <c r="N9" s="36" t="str">
        <f>'Bid Tab (F&amp;B Ops and CatMan) 10'!M36</f>
        <v>EXECUTION</v>
      </c>
    </row>
    <row r="10" spans="3:14" x14ac:dyDescent="0.25">
      <c r="C10" s="151" t="str">
        <f>'Bid Tab (F&amp;B Ops and CatMan) 10'!B37</f>
        <v>VENDOR 1</v>
      </c>
      <c r="D10" s="194">
        <f>'Bid Tab (F&amp;B Ops and CatMan) 10'!C37</f>
        <v>0</v>
      </c>
      <c r="E10" s="156">
        <f>'Bid Tab (F&amp;B Ops and CatMan) 10'!D37</f>
        <v>0</v>
      </c>
      <c r="F10" s="157">
        <f>'Bid Tab (F&amp;B Ops and CatMan) 10'!E37</f>
        <v>0</v>
      </c>
      <c r="G10" s="194">
        <f>'Bid Tab (F&amp;B Ops and CatMan) 10'!F37</f>
        <v>0</v>
      </c>
      <c r="H10" s="195" t="str">
        <f>'Bid Tab (F&amp;B Ops and CatMan) 10'!G37</f>
        <v/>
      </c>
      <c r="I10" s="195" t="str">
        <f>'Bid Tab (F&amp;B Ops and CatMan) 10'!H37</f>
        <v/>
      </c>
      <c r="J10" s="195" t="str">
        <f>'Bid Tab (F&amp;B Ops and CatMan) 10'!I37</f>
        <v/>
      </c>
      <c r="K10" s="357">
        <f>'Bid Tab (F&amp;B Ops and CatMan) 10'!J37</f>
        <v>0</v>
      </c>
      <c r="L10" s="143" t="str">
        <f>'Bid Tab (F&amp;B Ops and CatMan) 10'!K37</f>
        <v/>
      </c>
      <c r="M10" s="143" t="str">
        <f>'Bid Tab (F&amp;B Ops and CatMan) 10'!L37</f>
        <v/>
      </c>
      <c r="N10" s="144">
        <f>'Bid Tab (F&amp;B Ops and CatMan) 10'!M37</f>
        <v>0</v>
      </c>
    </row>
    <row r="11" spans="3:14" x14ac:dyDescent="0.25">
      <c r="C11" s="151" t="str">
        <f>'Bid Tab (F&amp;B Ops and CatMan) 10'!B38</f>
        <v>VENDOR 2</v>
      </c>
      <c r="D11" s="194">
        <f>'Bid Tab (F&amp;B Ops and CatMan) 10'!C38</f>
        <v>0</v>
      </c>
      <c r="E11" s="156">
        <f>'Bid Tab (F&amp;B Ops and CatMan) 10'!D38</f>
        <v>0</v>
      </c>
      <c r="F11" s="157">
        <f>'Bid Tab (F&amp;B Ops and CatMan) 10'!E38</f>
        <v>0</v>
      </c>
      <c r="G11" s="194">
        <f>'Bid Tab (F&amp;B Ops and CatMan) 10'!F38</f>
        <v>0</v>
      </c>
      <c r="H11" s="195" t="str">
        <f>'Bid Tab (F&amp;B Ops and CatMan) 10'!G38</f>
        <v/>
      </c>
      <c r="I11" s="195" t="str">
        <f>'Bid Tab (F&amp;B Ops and CatMan) 10'!H38</f>
        <v/>
      </c>
      <c r="J11" s="195" t="str">
        <f>'Bid Tab (F&amp;B Ops and CatMan) 10'!I38</f>
        <v/>
      </c>
      <c r="K11" s="357">
        <f>'Bid Tab (F&amp;B Ops and CatMan) 10'!J38</f>
        <v>0</v>
      </c>
      <c r="L11" s="143" t="str">
        <f>'Bid Tab (F&amp;B Ops and CatMan) 10'!K38</f>
        <v/>
      </c>
      <c r="M11" s="143" t="str">
        <f>'Bid Tab (F&amp;B Ops and CatMan) 10'!L38</f>
        <v/>
      </c>
      <c r="N11" s="144">
        <f>'Bid Tab (F&amp;B Ops and CatMan) 10'!M38</f>
        <v>0</v>
      </c>
    </row>
    <row r="12" spans="3:14" x14ac:dyDescent="0.25">
      <c r="C12" s="151" t="str">
        <f>'Bid Tab (F&amp;B Ops and CatMan) 10'!B39</f>
        <v>VENDOR 3</v>
      </c>
      <c r="D12" s="194">
        <f>'Bid Tab (F&amp;B Ops and CatMan) 10'!C39</f>
        <v>0</v>
      </c>
      <c r="E12" s="156">
        <f>'Bid Tab (F&amp;B Ops and CatMan) 10'!D39</f>
        <v>0</v>
      </c>
      <c r="F12" s="157">
        <f>'Bid Tab (F&amp;B Ops and CatMan) 10'!E39</f>
        <v>0</v>
      </c>
      <c r="G12" s="194">
        <f>'Bid Tab (F&amp;B Ops and CatMan) 10'!F39</f>
        <v>0</v>
      </c>
      <c r="H12" s="195" t="str">
        <f>'Bid Tab (F&amp;B Ops and CatMan) 10'!G39</f>
        <v/>
      </c>
      <c r="I12" s="195" t="str">
        <f>'Bid Tab (F&amp;B Ops and CatMan) 10'!H39</f>
        <v/>
      </c>
      <c r="J12" s="195" t="str">
        <f>'Bid Tab (F&amp;B Ops and CatMan) 10'!I39</f>
        <v/>
      </c>
      <c r="K12" s="357">
        <f>'Bid Tab (F&amp;B Ops and CatMan) 10'!J39</f>
        <v>0</v>
      </c>
      <c r="L12" s="143" t="str">
        <f>'Bid Tab (F&amp;B Ops and CatMan) 10'!K39</f>
        <v/>
      </c>
      <c r="M12" s="143" t="str">
        <f>'Bid Tab (F&amp;B Ops and CatMan) 10'!L39</f>
        <v/>
      </c>
      <c r="N12" s="144">
        <f>'Bid Tab (F&amp;B Ops and CatMan) 10'!M39</f>
        <v>0</v>
      </c>
    </row>
    <row r="13" spans="3:14" hidden="1" outlineLevel="1" x14ac:dyDescent="0.25">
      <c r="C13" s="151" t="str">
        <f>'Bid Tab (F&amp;B Ops and CatMan) 10'!B40</f>
        <v>VENDOR 4</v>
      </c>
      <c r="D13" s="194">
        <f>'Bid Tab (F&amp;B Ops and CatMan) 10'!C40</f>
        <v>0</v>
      </c>
      <c r="E13" s="156">
        <f>'Bid Tab (F&amp;B Ops and CatMan) 10'!D40</f>
        <v>0</v>
      </c>
      <c r="F13" s="157">
        <f>'Bid Tab (F&amp;B Ops and CatMan) 10'!E40</f>
        <v>0</v>
      </c>
      <c r="G13" s="194">
        <f>'Bid Tab (F&amp;B Ops and CatMan) 10'!F40</f>
        <v>0</v>
      </c>
      <c r="H13" s="195" t="str">
        <f>'Bid Tab (F&amp;B Ops and CatMan) 10'!G40</f>
        <v/>
      </c>
      <c r="I13" s="195" t="str">
        <f>'Bid Tab (F&amp;B Ops and CatMan) 10'!H40</f>
        <v/>
      </c>
      <c r="J13" s="195" t="str">
        <f>'Bid Tab (F&amp;B Ops and CatMan) 10'!I40</f>
        <v/>
      </c>
      <c r="K13" s="357">
        <f>'Bid Tab (F&amp;B Ops and CatMan) 10'!J40</f>
        <v>0</v>
      </c>
      <c r="L13" s="143" t="str">
        <f>'Bid Tab (F&amp;B Ops and CatMan) 10'!K40</f>
        <v/>
      </c>
      <c r="M13" s="143" t="str">
        <f>'Bid Tab (F&amp;B Ops and CatMan) 10'!L40</f>
        <v/>
      </c>
      <c r="N13" s="144">
        <f>'Bid Tab (F&amp;B Ops and CatMan) 10'!M40</f>
        <v>0</v>
      </c>
    </row>
    <row r="14" spans="3:14" hidden="1" outlineLevel="1" x14ac:dyDescent="0.25">
      <c r="C14" s="151" t="str">
        <f>'Bid Tab (F&amp;B Ops and CatMan) 10'!B41</f>
        <v>VENDOR 5</v>
      </c>
      <c r="D14" s="194">
        <f>'Bid Tab (F&amp;B Ops and CatMan) 10'!C41</f>
        <v>0</v>
      </c>
      <c r="E14" s="156">
        <f>'Bid Tab (F&amp;B Ops and CatMan) 10'!D41</f>
        <v>0</v>
      </c>
      <c r="F14" s="157">
        <f>'Bid Tab (F&amp;B Ops and CatMan) 10'!E41</f>
        <v>0</v>
      </c>
      <c r="G14" s="194">
        <f>'Bid Tab (F&amp;B Ops and CatMan) 10'!F41</f>
        <v>0</v>
      </c>
      <c r="H14" s="195" t="str">
        <f>'Bid Tab (F&amp;B Ops and CatMan) 10'!G41</f>
        <v/>
      </c>
      <c r="I14" s="195" t="str">
        <f>'Bid Tab (F&amp;B Ops and CatMan) 10'!H41</f>
        <v/>
      </c>
      <c r="J14" s="195" t="str">
        <f>'Bid Tab (F&amp;B Ops and CatMan) 10'!I41</f>
        <v/>
      </c>
      <c r="K14" s="357">
        <f>'Bid Tab (F&amp;B Ops and CatMan) 10'!J41</f>
        <v>0</v>
      </c>
      <c r="L14" s="143" t="str">
        <f>'Bid Tab (F&amp;B Ops and CatMan) 10'!K41</f>
        <v/>
      </c>
      <c r="M14" s="143" t="str">
        <f>'Bid Tab (F&amp;B Ops and CatMan) 10'!L41</f>
        <v/>
      </c>
      <c r="N14" s="144">
        <f>'Bid Tab (F&amp;B Ops and CatMan) 10'!M41</f>
        <v>0</v>
      </c>
    </row>
    <row r="15" spans="3:14" hidden="1" outlineLevel="1" x14ac:dyDescent="0.25">
      <c r="C15" s="151" t="str">
        <f>'Bid Tab (F&amp;B Ops and CatMan) 10'!B42</f>
        <v>VENDOR 6</v>
      </c>
      <c r="D15" s="194">
        <f>'Bid Tab (F&amp;B Ops and CatMan) 10'!C42</f>
        <v>0</v>
      </c>
      <c r="E15" s="156">
        <f>'Bid Tab (F&amp;B Ops and CatMan) 10'!D42</f>
        <v>0</v>
      </c>
      <c r="F15" s="157">
        <f>'Bid Tab (F&amp;B Ops and CatMan) 10'!E42</f>
        <v>0</v>
      </c>
      <c r="G15" s="194">
        <f>'Bid Tab (F&amp;B Ops and CatMan) 10'!F42</f>
        <v>0</v>
      </c>
      <c r="H15" s="195" t="str">
        <f>'Bid Tab (F&amp;B Ops and CatMan) 10'!G42</f>
        <v/>
      </c>
      <c r="I15" s="195" t="str">
        <f>'Bid Tab (F&amp;B Ops and CatMan) 10'!H42</f>
        <v/>
      </c>
      <c r="J15" s="195" t="str">
        <f>'Bid Tab (F&amp;B Ops and CatMan) 10'!I42</f>
        <v/>
      </c>
      <c r="K15" s="357">
        <f>'Bid Tab (F&amp;B Ops and CatMan) 10'!J42</f>
        <v>0</v>
      </c>
      <c r="L15" s="143" t="str">
        <f>'Bid Tab (F&amp;B Ops and CatMan) 10'!K42</f>
        <v/>
      </c>
      <c r="M15" s="143" t="str">
        <f>'Bid Tab (F&amp;B Ops and CatMan) 10'!L42</f>
        <v/>
      </c>
      <c r="N15" s="144">
        <f>'Bid Tab (F&amp;B Ops and CatMan) 10'!M42</f>
        <v>0</v>
      </c>
    </row>
    <row r="16" spans="3:14" hidden="1" outlineLevel="1" x14ac:dyDescent="0.25">
      <c r="C16" s="151" t="str">
        <f>'Bid Tab (F&amp;B Ops and CatMan) 10'!B43</f>
        <v>VENDOR 7</v>
      </c>
      <c r="D16" s="194">
        <f>'Bid Tab (F&amp;B Ops and CatMan) 10'!C43</f>
        <v>0</v>
      </c>
      <c r="E16" s="156">
        <f>'Bid Tab (F&amp;B Ops and CatMan) 10'!D43</f>
        <v>0</v>
      </c>
      <c r="F16" s="157">
        <f>'Bid Tab (F&amp;B Ops and CatMan) 10'!E43</f>
        <v>0</v>
      </c>
      <c r="G16" s="194">
        <f>'Bid Tab (F&amp;B Ops and CatMan) 10'!F43</f>
        <v>0</v>
      </c>
      <c r="H16" s="195" t="str">
        <f>'Bid Tab (F&amp;B Ops and CatMan) 10'!G43</f>
        <v/>
      </c>
      <c r="I16" s="195" t="str">
        <f>'Bid Tab (F&amp;B Ops and CatMan) 10'!H43</f>
        <v/>
      </c>
      <c r="J16" s="195" t="str">
        <f>'Bid Tab (F&amp;B Ops and CatMan) 10'!I43</f>
        <v/>
      </c>
      <c r="K16" s="357">
        <f>'Bid Tab (F&amp;B Ops and CatMan) 10'!J43</f>
        <v>0</v>
      </c>
      <c r="L16" s="143" t="str">
        <f>'Bid Tab (F&amp;B Ops and CatMan) 10'!K43</f>
        <v/>
      </c>
      <c r="M16" s="143" t="str">
        <f>'Bid Tab (F&amp;B Ops and CatMan) 10'!L43</f>
        <v/>
      </c>
      <c r="N16" s="144">
        <f>'Bid Tab (F&amp;B Ops and CatMan) 10'!M43</f>
        <v>0</v>
      </c>
    </row>
    <row r="17" spans="3:14" hidden="1" outlineLevel="1" x14ac:dyDescent="0.25">
      <c r="C17" s="151" t="str">
        <f>'Bid Tab (F&amp;B Ops and CatMan) 10'!B44</f>
        <v>VENDOR 8</v>
      </c>
      <c r="D17" s="194">
        <f>'Bid Tab (F&amp;B Ops and CatMan) 10'!C44</f>
        <v>0</v>
      </c>
      <c r="E17" s="156">
        <f>'Bid Tab (F&amp;B Ops and CatMan) 10'!D44</f>
        <v>0</v>
      </c>
      <c r="F17" s="157">
        <f>'Bid Tab (F&amp;B Ops and CatMan) 10'!E44</f>
        <v>0</v>
      </c>
      <c r="G17" s="194">
        <f>'Bid Tab (F&amp;B Ops and CatMan) 10'!F44</f>
        <v>0</v>
      </c>
      <c r="H17" s="195" t="str">
        <f>'Bid Tab (F&amp;B Ops and CatMan) 10'!G44</f>
        <v/>
      </c>
      <c r="I17" s="195" t="str">
        <f>'Bid Tab (F&amp;B Ops and CatMan) 10'!H44</f>
        <v/>
      </c>
      <c r="J17" s="195" t="str">
        <f>'Bid Tab (F&amp;B Ops and CatMan) 10'!I44</f>
        <v/>
      </c>
      <c r="K17" s="357">
        <f>'Bid Tab (F&amp;B Ops and CatMan) 10'!J44</f>
        <v>0</v>
      </c>
      <c r="L17" s="143" t="str">
        <f>'Bid Tab (F&amp;B Ops and CatMan) 10'!K44</f>
        <v/>
      </c>
      <c r="M17" s="143" t="str">
        <f>'Bid Tab (F&amp;B Ops and CatMan) 10'!L44</f>
        <v/>
      </c>
      <c r="N17" s="144">
        <f>'Bid Tab (F&amp;B Ops and CatMan) 10'!M44</f>
        <v>0</v>
      </c>
    </row>
    <row r="18" spans="3:14" hidden="1" outlineLevel="1" x14ac:dyDescent="0.25">
      <c r="C18" s="151" t="str">
        <f>'Bid Tab (F&amp;B Ops and CatMan) 10'!B45</f>
        <v>VENDOR 9</v>
      </c>
      <c r="D18" s="194">
        <f>'Bid Tab (F&amp;B Ops and CatMan) 10'!C45</f>
        <v>0</v>
      </c>
      <c r="E18" s="156">
        <f>'Bid Tab (F&amp;B Ops and CatMan) 10'!D45</f>
        <v>0</v>
      </c>
      <c r="F18" s="157">
        <f>'Bid Tab (F&amp;B Ops and CatMan) 10'!E45</f>
        <v>0</v>
      </c>
      <c r="G18" s="194">
        <f>'Bid Tab (F&amp;B Ops and CatMan) 10'!F45</f>
        <v>0</v>
      </c>
      <c r="H18" s="195" t="str">
        <f>'Bid Tab (F&amp;B Ops and CatMan) 10'!G45</f>
        <v/>
      </c>
      <c r="I18" s="195" t="str">
        <f>'Bid Tab (F&amp;B Ops and CatMan) 10'!H45</f>
        <v/>
      </c>
      <c r="J18" s="195" t="str">
        <f>'Bid Tab (F&amp;B Ops and CatMan) 10'!I45</f>
        <v/>
      </c>
      <c r="K18" s="357">
        <f>'Bid Tab (F&amp;B Ops and CatMan) 10'!J45</f>
        <v>0</v>
      </c>
      <c r="L18" s="143" t="str">
        <f>'Bid Tab (F&amp;B Ops and CatMan) 10'!K45</f>
        <v/>
      </c>
      <c r="M18" s="143" t="str">
        <f>'Bid Tab (F&amp;B Ops and CatMan) 10'!L45</f>
        <v/>
      </c>
      <c r="N18" s="144">
        <f>'Bid Tab (F&amp;B Ops and CatMan) 10'!M45</f>
        <v>0</v>
      </c>
    </row>
    <row r="19" spans="3:14" hidden="1" outlineLevel="1" x14ac:dyDescent="0.25">
      <c r="C19" s="151" t="str">
        <f>'Bid Tab (F&amp;B Ops and CatMan) 10'!B46</f>
        <v>VENDOR 10</v>
      </c>
      <c r="D19" s="194">
        <f>'Bid Tab (F&amp;B Ops and CatMan) 10'!C46</f>
        <v>0</v>
      </c>
      <c r="E19" s="156">
        <f>'Bid Tab (F&amp;B Ops and CatMan) 10'!D46</f>
        <v>0</v>
      </c>
      <c r="F19" s="157">
        <f>'Bid Tab (F&amp;B Ops and CatMan) 10'!E46</f>
        <v>0</v>
      </c>
      <c r="G19" s="194">
        <f>'Bid Tab (F&amp;B Ops and CatMan) 10'!F46</f>
        <v>0</v>
      </c>
      <c r="H19" s="195" t="str">
        <f>'Bid Tab (F&amp;B Ops and CatMan) 10'!G46</f>
        <v/>
      </c>
      <c r="I19" s="195" t="str">
        <f>'Bid Tab (F&amp;B Ops and CatMan) 10'!H46</f>
        <v/>
      </c>
      <c r="J19" s="195" t="str">
        <f>'Bid Tab (F&amp;B Ops and CatMan) 10'!I46</f>
        <v/>
      </c>
      <c r="K19" s="357">
        <f>'Bid Tab (F&amp;B Ops and CatMan) 10'!J46</f>
        <v>0</v>
      </c>
      <c r="L19" s="143" t="str">
        <f>'Bid Tab (F&amp;B Ops and CatMan) 10'!K46</f>
        <v/>
      </c>
      <c r="M19" s="143" t="str">
        <f>'Bid Tab (F&amp;B Ops and CatMan) 10'!L46</f>
        <v/>
      </c>
      <c r="N19" s="144">
        <f>'Bid Tab (F&amp;B Ops and CatMan) 10'!M46</f>
        <v>0</v>
      </c>
    </row>
    <row r="20" spans="3:14" collapsed="1" x14ac:dyDescent="0.25">
      <c r="C20" s="76" t="str">
        <f>'Bid Tab (F&amp;B Ops and CatMan) 10'!B47</f>
        <v>GRAND TOTAL</v>
      </c>
      <c r="D20" s="146">
        <f>'Bid Tab (F&amp;B Ops and CatMan) 10'!C47</f>
        <v>0</v>
      </c>
      <c r="E20" s="147">
        <f>'Bid Tab (F&amp;B Ops and CatMan) 10'!D47</f>
        <v>0</v>
      </c>
      <c r="F20" s="148">
        <f>'Bid Tab (F&amp;B Ops and CatMan) 10'!E47</f>
        <v>0</v>
      </c>
      <c r="G20" s="149">
        <f>'Bid Tab (F&amp;B Ops and CatMan) 10'!F47</f>
        <v>0</v>
      </c>
      <c r="H20" s="150">
        <f>'Bid Tab (F&amp;B Ops and CatMan) 10'!G47</f>
        <v>0</v>
      </c>
      <c r="I20" s="150">
        <f>'Bid Tab (F&amp;B Ops and CatMan) 10'!H47</f>
        <v>0</v>
      </c>
      <c r="J20" s="150">
        <f>'Bid Tab (F&amp;B Ops and CatMan) 10'!I47</f>
        <v>0</v>
      </c>
      <c r="K20" s="146">
        <f>'Bid Tab (F&amp;B Ops and CatMan) 10'!J47</f>
        <v>0</v>
      </c>
      <c r="L20" s="24"/>
      <c r="M20" s="24"/>
      <c r="N20" s="27"/>
    </row>
    <row r="23" spans="3:14" ht="20.25" x14ac:dyDescent="0.25">
      <c r="D23" s="78" t="s">
        <v>81</v>
      </c>
      <c r="E23" s="354" t="str">
        <f>'Bid Tab (F&amp;B Ops and CatMan) 10'!C61</f>
        <v xml:space="preserve">Award to: </v>
      </c>
      <c r="F23" s="355"/>
      <c r="G23" s="355"/>
      <c r="H23" s="355"/>
      <c r="I23" s="355"/>
      <c r="J23" s="355"/>
      <c r="K23" s="355"/>
      <c r="L23" s="355"/>
      <c r="M23" s="356"/>
    </row>
    <row r="24" spans="3:14" x14ac:dyDescent="0.25">
      <c r="D24" s="40"/>
    </row>
    <row r="25" spans="3:14" ht="20.25" x14ac:dyDescent="0.25">
      <c r="D25" s="71" t="s">
        <v>82</v>
      </c>
      <c r="E25" s="351">
        <f>'Bid Tab (F&amp;B Ops and CatMan) 10'!$C$64</f>
        <v>0</v>
      </c>
      <c r="F25" s="352"/>
      <c r="G25" s="352"/>
      <c r="H25" s="352"/>
      <c r="I25" s="352"/>
      <c r="J25" s="352"/>
      <c r="K25" s="352"/>
      <c r="L25" s="352"/>
      <c r="M25" s="353"/>
    </row>
    <row r="27" spans="3:14" ht="20.25" x14ac:dyDescent="0.25">
      <c r="D27" s="71" t="s">
        <v>83</v>
      </c>
    </row>
  </sheetData>
  <mergeCells count="2">
    <mergeCell ref="E23:M23"/>
    <mergeCell ref="E25:M25"/>
  </mergeCells>
  <conditionalFormatting sqref="N20">
    <cfRule type="containsText" dxfId="18" priority="1" operator="containsText" text="FALSE">
      <formula>NOT(ISERROR(SEARCH("FALSE",N20)))</formula>
    </cfRule>
  </conditionalFormatting>
  <pageMargins left="0.7" right="0.7" top="0.75" bottom="0.75" header="0.3" footer="0.3"/>
  <pageSetup paperSize="9" scale="51" fitToHeight="0" orientation="landscape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K208"/>
  <sheetViews>
    <sheetView workbookViewId="0"/>
  </sheetViews>
  <sheetFormatPr defaultRowHeight="15" x14ac:dyDescent="0.25"/>
  <cols>
    <col min="1" max="1" width="37.5703125" bestFit="1" customWidth="1"/>
    <col min="2" max="2" width="46" bestFit="1" customWidth="1"/>
    <col min="3" max="3" width="43.140625" bestFit="1" customWidth="1"/>
    <col min="5" max="5" width="14.5703125" style="239" bestFit="1" customWidth="1"/>
    <col min="6" max="6" width="37.28515625" bestFit="1" customWidth="1"/>
    <col min="7" max="7" width="18.5703125" style="239" bestFit="1" customWidth="1"/>
    <col min="8" max="8" width="27.140625" bestFit="1" customWidth="1"/>
    <col min="9" max="9" width="18.28515625" style="239" bestFit="1" customWidth="1"/>
    <col min="10" max="10" width="28.5703125" bestFit="1" customWidth="1"/>
    <col min="11" max="17" width="28.5703125" customWidth="1"/>
    <col min="19" max="19" width="28.5703125" customWidth="1"/>
    <col min="21" max="29" width="28.5703125" customWidth="1"/>
    <col min="36" max="36" width="21.7109375" bestFit="1" customWidth="1"/>
    <col min="37" max="37" width="61.28515625" bestFit="1" customWidth="1"/>
  </cols>
  <sheetData>
    <row r="1" spans="1:37" s="241" customFormat="1" x14ac:dyDescent="0.25">
      <c r="A1" s="240" t="s">
        <v>627</v>
      </c>
      <c r="B1" s="240" t="s">
        <v>140</v>
      </c>
      <c r="C1" s="240" t="s">
        <v>126</v>
      </c>
      <c r="E1" s="240" t="s">
        <v>626</v>
      </c>
      <c r="F1" s="240" t="s">
        <v>627</v>
      </c>
      <c r="G1" s="240" t="s">
        <v>338</v>
      </c>
      <c r="H1" s="240" t="s">
        <v>140</v>
      </c>
      <c r="I1" s="240" t="s">
        <v>339</v>
      </c>
      <c r="J1" s="240" t="s">
        <v>126</v>
      </c>
      <c r="K1" s="240" t="s">
        <v>681</v>
      </c>
      <c r="L1" s="240" t="s">
        <v>681</v>
      </c>
      <c r="M1" s="240" t="s">
        <v>756</v>
      </c>
      <c r="N1" s="240" t="s">
        <v>756</v>
      </c>
      <c r="O1" s="240" t="s">
        <v>757</v>
      </c>
      <c r="P1" s="240" t="s">
        <v>757</v>
      </c>
      <c r="Q1" s="240" t="s">
        <v>769</v>
      </c>
      <c r="R1" s="240" t="s">
        <v>676</v>
      </c>
      <c r="S1" s="240" t="s">
        <v>769</v>
      </c>
      <c r="T1" s="240" t="s">
        <v>677</v>
      </c>
      <c r="U1" s="240" t="s">
        <v>720</v>
      </c>
      <c r="V1" s="240" t="s">
        <v>695</v>
      </c>
      <c r="W1" s="240" t="s">
        <v>772</v>
      </c>
      <c r="X1" s="240" t="s">
        <v>731</v>
      </c>
      <c r="Y1" s="240" t="s">
        <v>696</v>
      </c>
      <c r="Z1" s="240" t="s">
        <v>773</v>
      </c>
      <c r="AA1" s="240" t="s">
        <v>736</v>
      </c>
      <c r="AB1" s="240" t="s">
        <v>753</v>
      </c>
      <c r="AC1" s="240" t="s">
        <v>749</v>
      </c>
      <c r="AF1" s="241" t="e">
        <f>INDEX($E:$E,MATCH('Bid Tab (F&amp;B Ops and CatMan) 10'!$I$4,Approvers!$F:$F,0))</f>
        <v>#N/A</v>
      </c>
      <c r="AH1" s="242" t="e">
        <f>INDEX($I:$I,MATCH('Bid Tab (F&amp;B Ops and CatMan) 10'!$I$5,Approvers!$J:$J,0))</f>
        <v>#N/A</v>
      </c>
      <c r="AJ1" s="240" t="s">
        <v>779</v>
      </c>
      <c r="AK1" s="240" t="s">
        <v>781</v>
      </c>
    </row>
    <row r="2" spans="1:37" x14ac:dyDescent="0.25">
      <c r="A2" s="171" t="s">
        <v>950</v>
      </c>
      <c r="B2" s="171" t="s">
        <v>950</v>
      </c>
      <c r="C2" s="171" t="s">
        <v>950</v>
      </c>
      <c r="E2" s="238" t="s">
        <v>673</v>
      </c>
      <c r="F2" s="171" t="s">
        <v>951</v>
      </c>
      <c r="G2" s="238" t="s">
        <v>673</v>
      </c>
      <c r="H2" s="171" t="s">
        <v>951</v>
      </c>
      <c r="I2" s="238" t="s">
        <v>673</v>
      </c>
      <c r="J2" s="171" t="s">
        <v>951</v>
      </c>
      <c r="K2" s="196" t="s">
        <v>771</v>
      </c>
      <c r="L2" s="196" t="s">
        <v>771</v>
      </c>
      <c r="M2" s="196" t="s">
        <v>771</v>
      </c>
      <c r="N2" s="196" t="s">
        <v>771</v>
      </c>
      <c r="O2" s="196" t="s">
        <v>771</v>
      </c>
      <c r="P2" s="196" t="s">
        <v>771</v>
      </c>
      <c r="Q2" s="196" t="s">
        <v>771</v>
      </c>
      <c r="R2" s="196" t="s">
        <v>771</v>
      </c>
      <c r="S2" s="196" t="s">
        <v>771</v>
      </c>
      <c r="T2" s="196" t="s">
        <v>771</v>
      </c>
      <c r="U2" s="196" t="s">
        <v>771</v>
      </c>
      <c r="V2" s="196" t="s">
        <v>771</v>
      </c>
      <c r="W2" s="196" t="s">
        <v>771</v>
      </c>
      <c r="X2" s="196" t="s">
        <v>771</v>
      </c>
      <c r="Y2" s="196" t="s">
        <v>771</v>
      </c>
      <c r="Z2" s="196" t="s">
        <v>771</v>
      </c>
      <c r="AA2" s="196" t="s">
        <v>771</v>
      </c>
      <c r="AB2" s="196" t="s">
        <v>771</v>
      </c>
      <c r="AC2" s="196" t="s">
        <v>771</v>
      </c>
      <c r="AJ2" s="171" t="s">
        <v>678</v>
      </c>
      <c r="AK2" s="171" t="s">
        <v>780</v>
      </c>
    </row>
    <row r="3" spans="1:37" x14ac:dyDescent="0.25">
      <c r="A3" s="171" t="s">
        <v>1007</v>
      </c>
      <c r="B3" s="171" t="s">
        <v>162</v>
      </c>
      <c r="C3" s="171" t="s">
        <v>774</v>
      </c>
      <c r="E3" s="238" t="s">
        <v>674</v>
      </c>
      <c r="F3" s="171" t="s">
        <v>1007</v>
      </c>
      <c r="G3" s="238" t="s">
        <v>554</v>
      </c>
      <c r="H3" s="171" t="s">
        <v>162</v>
      </c>
      <c r="I3" s="238">
        <v>100</v>
      </c>
      <c r="J3" s="171" t="s">
        <v>163</v>
      </c>
      <c r="K3" s="196" t="s">
        <v>771</v>
      </c>
      <c r="L3" s="196" t="s">
        <v>771</v>
      </c>
      <c r="M3" s="196" t="s">
        <v>771</v>
      </c>
      <c r="N3" s="196" t="s">
        <v>771</v>
      </c>
      <c r="O3" s="196" t="s">
        <v>771</v>
      </c>
      <c r="P3" s="196" t="s">
        <v>771</v>
      </c>
      <c r="Q3" s="171" t="s">
        <v>769</v>
      </c>
      <c r="R3" s="171" t="s">
        <v>697</v>
      </c>
      <c r="S3" s="196" t="s">
        <v>771</v>
      </c>
      <c r="T3" s="196" t="s">
        <v>771</v>
      </c>
      <c r="U3" s="196" t="s">
        <v>771</v>
      </c>
      <c r="V3" s="196" t="s">
        <v>771</v>
      </c>
      <c r="W3" s="196" t="s">
        <v>771</v>
      </c>
      <c r="X3" s="196" t="s">
        <v>771</v>
      </c>
      <c r="Y3" s="171" t="s">
        <v>694</v>
      </c>
      <c r="Z3" s="196" t="s">
        <v>771</v>
      </c>
      <c r="AA3" s="196" t="s">
        <v>771</v>
      </c>
      <c r="AB3" s="196" t="s">
        <v>771</v>
      </c>
      <c r="AC3" s="196" t="s">
        <v>771</v>
      </c>
      <c r="AJ3" s="171" t="s">
        <v>743</v>
      </c>
      <c r="AK3" s="171" t="s">
        <v>782</v>
      </c>
    </row>
    <row r="4" spans="1:37" x14ac:dyDescent="0.25">
      <c r="A4" s="171" t="s">
        <v>628</v>
      </c>
      <c r="B4" s="171" t="s">
        <v>164</v>
      </c>
      <c r="C4" s="171" t="s">
        <v>775</v>
      </c>
      <c r="E4" s="238" t="s">
        <v>674</v>
      </c>
      <c r="F4" s="171" t="s">
        <v>1007</v>
      </c>
      <c r="G4" s="238" t="s">
        <v>555</v>
      </c>
      <c r="H4" s="171" t="s">
        <v>164</v>
      </c>
      <c r="I4" s="238">
        <v>1100</v>
      </c>
      <c r="J4" s="171" t="s">
        <v>165</v>
      </c>
      <c r="K4" s="196" t="s">
        <v>771</v>
      </c>
      <c r="L4" s="196" t="s">
        <v>771</v>
      </c>
      <c r="M4" s="196" t="s">
        <v>771</v>
      </c>
      <c r="N4" s="196" t="s">
        <v>771</v>
      </c>
      <c r="O4" s="196" t="s">
        <v>771</v>
      </c>
      <c r="P4" s="196" t="s">
        <v>771</v>
      </c>
      <c r="Q4" s="171" t="s">
        <v>769</v>
      </c>
      <c r="R4" s="171" t="s">
        <v>697</v>
      </c>
      <c r="S4" s="196" t="s">
        <v>771</v>
      </c>
      <c r="T4" s="196" t="s">
        <v>771</v>
      </c>
      <c r="U4" s="196" t="s">
        <v>771</v>
      </c>
      <c r="V4" s="196" t="s">
        <v>771</v>
      </c>
      <c r="W4" s="196" t="s">
        <v>771</v>
      </c>
      <c r="X4" s="196" t="s">
        <v>771</v>
      </c>
      <c r="Y4" s="171" t="s">
        <v>694</v>
      </c>
      <c r="Z4" s="196" t="s">
        <v>771</v>
      </c>
      <c r="AA4" s="196" t="s">
        <v>771</v>
      </c>
      <c r="AB4" s="196" t="s">
        <v>771</v>
      </c>
      <c r="AC4" s="196" t="s">
        <v>771</v>
      </c>
      <c r="AJ4" s="171" t="s">
        <v>748</v>
      </c>
      <c r="AK4" s="171" t="s">
        <v>857</v>
      </c>
    </row>
    <row r="5" spans="1:37" x14ac:dyDescent="0.25">
      <c r="A5" s="171" t="s">
        <v>941</v>
      </c>
      <c r="B5" s="171" t="s">
        <v>166</v>
      </c>
      <c r="C5" s="171" t="s">
        <v>131</v>
      </c>
      <c r="E5" s="238" t="s">
        <v>674</v>
      </c>
      <c r="F5" s="171" t="s">
        <v>1007</v>
      </c>
      <c r="G5" s="238" t="s">
        <v>556</v>
      </c>
      <c r="H5" s="171" t="s">
        <v>166</v>
      </c>
      <c r="I5" s="238">
        <v>150</v>
      </c>
      <c r="J5" s="171" t="s">
        <v>167</v>
      </c>
      <c r="K5" s="196" t="s">
        <v>771</v>
      </c>
      <c r="L5" s="196" t="s">
        <v>771</v>
      </c>
      <c r="M5" s="196" t="s">
        <v>771</v>
      </c>
      <c r="N5" s="196" t="s">
        <v>771</v>
      </c>
      <c r="O5" s="196" t="s">
        <v>771</v>
      </c>
      <c r="P5" s="196" t="s">
        <v>771</v>
      </c>
      <c r="Q5" s="171" t="s">
        <v>769</v>
      </c>
      <c r="R5" s="171" t="s">
        <v>697</v>
      </c>
      <c r="S5" s="196" t="s">
        <v>771</v>
      </c>
      <c r="T5" s="196" t="s">
        <v>771</v>
      </c>
      <c r="U5" s="196" t="s">
        <v>771</v>
      </c>
      <c r="V5" s="196" t="s">
        <v>771</v>
      </c>
      <c r="W5" s="196" t="s">
        <v>771</v>
      </c>
      <c r="X5" s="196" t="s">
        <v>771</v>
      </c>
      <c r="Y5" s="171" t="s">
        <v>694</v>
      </c>
      <c r="Z5" s="196" t="s">
        <v>771</v>
      </c>
      <c r="AA5" s="196" t="s">
        <v>771</v>
      </c>
      <c r="AB5" s="196" t="s">
        <v>771</v>
      </c>
      <c r="AC5" s="196" t="s">
        <v>771</v>
      </c>
      <c r="AJ5" s="171" t="s">
        <v>705</v>
      </c>
      <c r="AK5" s="171" t="s">
        <v>783</v>
      </c>
    </row>
    <row r="6" spans="1:37" x14ac:dyDescent="0.25">
      <c r="A6" s="171" t="s">
        <v>303</v>
      </c>
      <c r="B6" s="171" t="s">
        <v>168</v>
      </c>
      <c r="C6" s="171" t="s">
        <v>134</v>
      </c>
      <c r="E6" s="238" t="s">
        <v>674</v>
      </c>
      <c r="F6" s="171" t="s">
        <v>1007</v>
      </c>
      <c r="G6" s="238" t="s">
        <v>557</v>
      </c>
      <c r="H6" s="171" t="s">
        <v>168</v>
      </c>
      <c r="I6" s="238">
        <v>200</v>
      </c>
      <c r="J6" s="171" t="s">
        <v>169</v>
      </c>
      <c r="K6" s="196" t="s">
        <v>771</v>
      </c>
      <c r="L6" s="196" t="s">
        <v>771</v>
      </c>
      <c r="M6" s="196" t="s">
        <v>771</v>
      </c>
      <c r="N6" s="196" t="s">
        <v>771</v>
      </c>
      <c r="O6" s="196" t="s">
        <v>771</v>
      </c>
      <c r="P6" s="196" t="s">
        <v>771</v>
      </c>
      <c r="Q6" s="171" t="s">
        <v>769</v>
      </c>
      <c r="R6" s="171" t="s">
        <v>697</v>
      </c>
      <c r="S6" s="196" t="s">
        <v>771</v>
      </c>
      <c r="T6" s="196" t="s">
        <v>771</v>
      </c>
      <c r="U6" s="196" t="s">
        <v>771</v>
      </c>
      <c r="V6" s="196" t="s">
        <v>771</v>
      </c>
      <c r="W6" s="196" t="s">
        <v>771</v>
      </c>
      <c r="X6" s="196" t="s">
        <v>771</v>
      </c>
      <c r="Y6" s="171" t="s">
        <v>694</v>
      </c>
      <c r="Z6" s="196" t="s">
        <v>771</v>
      </c>
      <c r="AA6" s="196" t="s">
        <v>771</v>
      </c>
      <c r="AB6" s="196" t="s">
        <v>771</v>
      </c>
      <c r="AC6" s="196" t="s">
        <v>771</v>
      </c>
      <c r="AJ6" s="171" t="s">
        <v>714</v>
      </c>
      <c r="AK6" s="171" t="s">
        <v>784</v>
      </c>
    </row>
    <row r="7" spans="1:37" x14ac:dyDescent="0.25">
      <c r="A7" s="171" t="s">
        <v>641</v>
      </c>
      <c r="B7" s="171" t="s">
        <v>170</v>
      </c>
      <c r="C7" s="171" t="s">
        <v>325</v>
      </c>
      <c r="E7" s="238" t="s">
        <v>674</v>
      </c>
      <c r="F7" s="171" t="s">
        <v>1007</v>
      </c>
      <c r="G7" s="238" t="s">
        <v>558</v>
      </c>
      <c r="H7" s="171" t="s">
        <v>170</v>
      </c>
      <c r="I7" s="238">
        <v>201</v>
      </c>
      <c r="J7" s="171" t="s">
        <v>171</v>
      </c>
      <c r="K7" s="196" t="s">
        <v>771</v>
      </c>
      <c r="L7" s="196" t="s">
        <v>771</v>
      </c>
      <c r="M7" s="196" t="s">
        <v>771</v>
      </c>
      <c r="N7" s="196" t="s">
        <v>771</v>
      </c>
      <c r="O7" s="196" t="s">
        <v>771</v>
      </c>
      <c r="P7" s="196" t="s">
        <v>771</v>
      </c>
      <c r="Q7" s="171" t="s">
        <v>769</v>
      </c>
      <c r="R7" s="171" t="s">
        <v>697</v>
      </c>
      <c r="S7" s="196" t="s">
        <v>771</v>
      </c>
      <c r="T7" s="196" t="s">
        <v>771</v>
      </c>
      <c r="U7" s="196" t="s">
        <v>771</v>
      </c>
      <c r="V7" s="196" t="s">
        <v>771</v>
      </c>
      <c r="W7" s="196" t="s">
        <v>771</v>
      </c>
      <c r="X7" s="196" t="s">
        <v>771</v>
      </c>
      <c r="Y7" s="171" t="s">
        <v>694</v>
      </c>
      <c r="Z7" s="196" t="s">
        <v>771</v>
      </c>
      <c r="AA7" s="196" t="s">
        <v>771</v>
      </c>
      <c r="AB7" s="196" t="s">
        <v>771</v>
      </c>
      <c r="AC7" s="196" t="s">
        <v>771</v>
      </c>
      <c r="AJ7" s="171" t="s">
        <v>717</v>
      </c>
      <c r="AK7" s="171" t="s">
        <v>785</v>
      </c>
    </row>
    <row r="8" spans="1:37" x14ac:dyDescent="0.25">
      <c r="A8" s="171" t="s">
        <v>635</v>
      </c>
      <c r="B8" s="171" t="s">
        <v>172</v>
      </c>
      <c r="C8" s="171" t="s">
        <v>304</v>
      </c>
      <c r="E8" s="238" t="s">
        <v>674</v>
      </c>
      <c r="F8" s="171" t="s">
        <v>1007</v>
      </c>
      <c r="G8" s="238" t="s">
        <v>559</v>
      </c>
      <c r="H8" s="171" t="s">
        <v>172</v>
      </c>
      <c r="I8" s="238">
        <v>250</v>
      </c>
      <c r="J8" s="171" t="s">
        <v>173</v>
      </c>
      <c r="K8" s="196" t="s">
        <v>771</v>
      </c>
      <c r="L8" s="196" t="s">
        <v>771</v>
      </c>
      <c r="M8" s="196" t="s">
        <v>771</v>
      </c>
      <c r="N8" s="196" t="s">
        <v>771</v>
      </c>
      <c r="O8" s="196" t="s">
        <v>771</v>
      </c>
      <c r="P8" s="196" t="s">
        <v>771</v>
      </c>
      <c r="Q8" s="171" t="s">
        <v>769</v>
      </c>
      <c r="R8" s="171" t="s">
        <v>697</v>
      </c>
      <c r="S8" s="196" t="s">
        <v>771</v>
      </c>
      <c r="T8" s="196" t="s">
        <v>771</v>
      </c>
      <c r="U8" s="196" t="s">
        <v>771</v>
      </c>
      <c r="V8" s="196" t="s">
        <v>771</v>
      </c>
      <c r="W8" s="196" t="s">
        <v>771</v>
      </c>
      <c r="X8" s="196" t="s">
        <v>771</v>
      </c>
      <c r="Y8" s="171" t="s">
        <v>694</v>
      </c>
      <c r="Z8" s="196" t="s">
        <v>771</v>
      </c>
      <c r="AA8" s="196" t="s">
        <v>771</v>
      </c>
      <c r="AB8" s="196" t="s">
        <v>771</v>
      </c>
      <c r="AC8" s="196" t="s">
        <v>771</v>
      </c>
      <c r="AJ8" s="171" t="s">
        <v>698</v>
      </c>
      <c r="AK8" s="171" t="s">
        <v>786</v>
      </c>
    </row>
    <row r="9" spans="1:37" x14ac:dyDescent="0.25">
      <c r="A9" s="171" t="s">
        <v>629</v>
      </c>
      <c r="B9" s="171" t="s">
        <v>174</v>
      </c>
      <c r="C9" s="171" t="s">
        <v>213</v>
      </c>
      <c r="E9" s="238" t="s">
        <v>674</v>
      </c>
      <c r="F9" s="171" t="s">
        <v>1007</v>
      </c>
      <c r="G9" s="238" t="s">
        <v>560</v>
      </c>
      <c r="H9" s="171" t="s">
        <v>174</v>
      </c>
      <c r="I9" s="238">
        <v>300</v>
      </c>
      <c r="J9" s="171" t="s">
        <v>175</v>
      </c>
      <c r="K9" s="196" t="s">
        <v>771</v>
      </c>
      <c r="L9" s="196" t="s">
        <v>771</v>
      </c>
      <c r="M9" s="196" t="s">
        <v>771</v>
      </c>
      <c r="N9" s="196" t="s">
        <v>771</v>
      </c>
      <c r="O9" s="196" t="s">
        <v>771</v>
      </c>
      <c r="P9" s="196" t="s">
        <v>771</v>
      </c>
      <c r="Q9" s="171" t="s">
        <v>769</v>
      </c>
      <c r="R9" s="171" t="s">
        <v>697</v>
      </c>
      <c r="S9" s="196" t="s">
        <v>771</v>
      </c>
      <c r="T9" s="196" t="s">
        <v>771</v>
      </c>
      <c r="U9" s="196" t="s">
        <v>771</v>
      </c>
      <c r="V9" s="196" t="s">
        <v>771</v>
      </c>
      <c r="W9" s="196" t="s">
        <v>771</v>
      </c>
      <c r="X9" s="196" t="s">
        <v>771</v>
      </c>
      <c r="Y9" s="171" t="s">
        <v>694</v>
      </c>
      <c r="Z9" s="196" t="s">
        <v>771</v>
      </c>
      <c r="AA9" s="196" t="s">
        <v>771</v>
      </c>
      <c r="AB9" s="196" t="s">
        <v>771</v>
      </c>
      <c r="AC9" s="196" t="s">
        <v>771</v>
      </c>
      <c r="AJ9" s="171" t="s">
        <v>712</v>
      </c>
      <c r="AK9" s="171" t="s">
        <v>787</v>
      </c>
    </row>
    <row r="10" spans="1:37" x14ac:dyDescent="0.25">
      <c r="A10" s="171" t="s">
        <v>630</v>
      </c>
      <c r="B10" s="171" t="s">
        <v>176</v>
      </c>
      <c r="C10" s="171" t="s">
        <v>330</v>
      </c>
      <c r="E10" s="238" t="s">
        <v>674</v>
      </c>
      <c r="F10" s="171" t="s">
        <v>1007</v>
      </c>
      <c r="G10" s="238" t="s">
        <v>561</v>
      </c>
      <c r="H10" s="171" t="s">
        <v>176</v>
      </c>
      <c r="I10" s="238">
        <v>350</v>
      </c>
      <c r="J10" s="171" t="s">
        <v>177</v>
      </c>
      <c r="K10" s="196" t="s">
        <v>771</v>
      </c>
      <c r="L10" s="196" t="s">
        <v>771</v>
      </c>
      <c r="M10" s="196" t="s">
        <v>771</v>
      </c>
      <c r="N10" s="196" t="s">
        <v>771</v>
      </c>
      <c r="O10" s="196" t="s">
        <v>771</v>
      </c>
      <c r="P10" s="196" t="s">
        <v>771</v>
      </c>
      <c r="Q10" s="171" t="s">
        <v>769</v>
      </c>
      <c r="R10" s="171" t="s">
        <v>697</v>
      </c>
      <c r="S10" s="196" t="s">
        <v>771</v>
      </c>
      <c r="T10" s="196" t="s">
        <v>771</v>
      </c>
      <c r="U10" s="196" t="s">
        <v>771</v>
      </c>
      <c r="V10" s="196" t="s">
        <v>771</v>
      </c>
      <c r="W10" s="196" t="s">
        <v>771</v>
      </c>
      <c r="X10" s="196" t="s">
        <v>771</v>
      </c>
      <c r="Y10" s="171" t="s">
        <v>694</v>
      </c>
      <c r="Z10" s="196" t="s">
        <v>771</v>
      </c>
      <c r="AA10" s="196" t="s">
        <v>771</v>
      </c>
      <c r="AB10" s="196" t="s">
        <v>771</v>
      </c>
      <c r="AC10" s="196" t="s">
        <v>771</v>
      </c>
      <c r="AJ10" s="171" t="s">
        <v>761</v>
      </c>
      <c r="AK10" s="171" t="s">
        <v>788</v>
      </c>
    </row>
    <row r="11" spans="1:37" x14ac:dyDescent="0.25">
      <c r="A11" s="171" t="s">
        <v>646</v>
      </c>
      <c r="B11" s="171" t="s">
        <v>178</v>
      </c>
      <c r="C11" s="171" t="s">
        <v>151</v>
      </c>
      <c r="E11" s="238" t="s">
        <v>674</v>
      </c>
      <c r="F11" s="171" t="s">
        <v>1007</v>
      </c>
      <c r="G11" s="238" t="s">
        <v>562</v>
      </c>
      <c r="H11" s="171" t="s">
        <v>178</v>
      </c>
      <c r="I11" s="238">
        <v>400</v>
      </c>
      <c r="J11" s="171" t="s">
        <v>179</v>
      </c>
      <c r="K11" s="196" t="s">
        <v>771</v>
      </c>
      <c r="L11" s="196" t="s">
        <v>771</v>
      </c>
      <c r="M11" s="196" t="s">
        <v>771</v>
      </c>
      <c r="N11" s="196" t="s">
        <v>771</v>
      </c>
      <c r="O11" s="196" t="s">
        <v>771</v>
      </c>
      <c r="P11" s="196" t="s">
        <v>771</v>
      </c>
      <c r="Q11" s="171" t="s">
        <v>769</v>
      </c>
      <c r="R11" s="171" t="s">
        <v>697</v>
      </c>
      <c r="S11" s="196" t="s">
        <v>771</v>
      </c>
      <c r="T11" s="196" t="s">
        <v>771</v>
      </c>
      <c r="U11" s="196" t="s">
        <v>771</v>
      </c>
      <c r="V11" s="196" t="s">
        <v>771</v>
      </c>
      <c r="W11" s="196" t="s">
        <v>771</v>
      </c>
      <c r="X11" s="196" t="s">
        <v>771</v>
      </c>
      <c r="Y11" s="171" t="s">
        <v>694</v>
      </c>
      <c r="Z11" s="196" t="s">
        <v>771</v>
      </c>
      <c r="AA11" s="196" t="s">
        <v>771</v>
      </c>
      <c r="AB11" s="196" t="s">
        <v>771</v>
      </c>
      <c r="AC11" s="196" t="s">
        <v>771</v>
      </c>
      <c r="AJ11" s="171" t="s">
        <v>738</v>
      </c>
      <c r="AK11" s="171" t="s">
        <v>789</v>
      </c>
    </row>
    <row r="12" spans="1:37" x14ac:dyDescent="0.25">
      <c r="A12" s="171" t="s">
        <v>643</v>
      </c>
      <c r="B12" s="171" t="s">
        <v>180</v>
      </c>
      <c r="C12" s="171" t="s">
        <v>321</v>
      </c>
      <c r="E12" s="238" t="s">
        <v>674</v>
      </c>
      <c r="F12" s="171" t="s">
        <v>1007</v>
      </c>
      <c r="G12" s="238" t="s">
        <v>563</v>
      </c>
      <c r="H12" s="171" t="s">
        <v>180</v>
      </c>
      <c r="I12" s="238">
        <v>450</v>
      </c>
      <c r="J12" s="171" t="s">
        <v>181</v>
      </c>
      <c r="K12" s="196" t="s">
        <v>771</v>
      </c>
      <c r="L12" s="196" t="s">
        <v>771</v>
      </c>
      <c r="M12" s="196" t="s">
        <v>771</v>
      </c>
      <c r="N12" s="196" t="s">
        <v>771</v>
      </c>
      <c r="O12" s="196" t="s">
        <v>771</v>
      </c>
      <c r="P12" s="196" t="s">
        <v>771</v>
      </c>
      <c r="Q12" s="171" t="s">
        <v>769</v>
      </c>
      <c r="R12" s="171" t="s">
        <v>697</v>
      </c>
      <c r="S12" s="196" t="s">
        <v>771</v>
      </c>
      <c r="T12" s="196" t="s">
        <v>771</v>
      </c>
      <c r="U12" s="196" t="s">
        <v>771</v>
      </c>
      <c r="V12" s="196" t="s">
        <v>771</v>
      </c>
      <c r="W12" s="196" t="s">
        <v>771</v>
      </c>
      <c r="X12" s="196" t="s">
        <v>771</v>
      </c>
      <c r="Y12" s="171" t="s">
        <v>694</v>
      </c>
      <c r="Z12" s="196" t="s">
        <v>771</v>
      </c>
      <c r="AA12" s="196" t="s">
        <v>771</v>
      </c>
      <c r="AB12" s="196" t="s">
        <v>771</v>
      </c>
      <c r="AC12" s="196" t="s">
        <v>771</v>
      </c>
      <c r="AJ12" s="171" t="s">
        <v>751</v>
      </c>
      <c r="AK12" s="171" t="s">
        <v>790</v>
      </c>
    </row>
    <row r="13" spans="1:37" x14ac:dyDescent="0.25">
      <c r="A13" s="171" t="s">
        <v>645</v>
      </c>
      <c r="B13" s="171" t="s">
        <v>182</v>
      </c>
      <c r="C13" s="171" t="s">
        <v>322</v>
      </c>
      <c r="E13" s="238" t="s">
        <v>674</v>
      </c>
      <c r="F13" s="171" t="s">
        <v>1007</v>
      </c>
      <c r="G13" s="238" t="s">
        <v>564</v>
      </c>
      <c r="H13" s="171" t="s">
        <v>182</v>
      </c>
      <c r="I13" s="238">
        <v>500</v>
      </c>
      <c r="J13" s="171" t="s">
        <v>183</v>
      </c>
      <c r="K13" s="196" t="s">
        <v>771</v>
      </c>
      <c r="L13" s="196" t="s">
        <v>771</v>
      </c>
      <c r="M13" s="196" t="s">
        <v>771</v>
      </c>
      <c r="N13" s="196" t="s">
        <v>771</v>
      </c>
      <c r="O13" s="196" t="s">
        <v>771</v>
      </c>
      <c r="P13" s="196" t="s">
        <v>771</v>
      </c>
      <c r="Q13" s="171" t="s">
        <v>769</v>
      </c>
      <c r="R13" s="171" t="s">
        <v>697</v>
      </c>
      <c r="S13" s="196" t="s">
        <v>771</v>
      </c>
      <c r="T13" s="196" t="s">
        <v>771</v>
      </c>
      <c r="U13" s="196" t="s">
        <v>771</v>
      </c>
      <c r="V13" s="196" t="s">
        <v>771</v>
      </c>
      <c r="W13" s="196" t="s">
        <v>771</v>
      </c>
      <c r="X13" s="196" t="s">
        <v>771</v>
      </c>
      <c r="Y13" s="171" t="s">
        <v>694</v>
      </c>
      <c r="Z13" s="196" t="s">
        <v>771</v>
      </c>
      <c r="AA13" s="196" t="s">
        <v>771</v>
      </c>
      <c r="AB13" s="196" t="s">
        <v>771</v>
      </c>
      <c r="AC13" s="196" t="s">
        <v>771</v>
      </c>
      <c r="AJ13" s="171" t="s">
        <v>708</v>
      </c>
      <c r="AK13" s="171" t="s">
        <v>791</v>
      </c>
    </row>
    <row r="14" spans="1:37" x14ac:dyDescent="0.25">
      <c r="A14" s="171" t="s">
        <v>639</v>
      </c>
      <c r="B14" s="171" t="s">
        <v>184</v>
      </c>
      <c r="C14" s="171" t="s">
        <v>241</v>
      </c>
      <c r="E14" s="238" t="s">
        <v>674</v>
      </c>
      <c r="F14" s="171" t="s">
        <v>1007</v>
      </c>
      <c r="G14" s="238" t="s">
        <v>565</v>
      </c>
      <c r="H14" s="171" t="s">
        <v>184</v>
      </c>
      <c r="I14" s="238">
        <v>550</v>
      </c>
      <c r="J14" s="171" t="s">
        <v>185</v>
      </c>
      <c r="K14" s="196" t="s">
        <v>771</v>
      </c>
      <c r="L14" s="196" t="s">
        <v>771</v>
      </c>
      <c r="M14" s="196" t="s">
        <v>771</v>
      </c>
      <c r="N14" s="196" t="s">
        <v>771</v>
      </c>
      <c r="O14" s="196" t="s">
        <v>771</v>
      </c>
      <c r="P14" s="196" t="s">
        <v>771</v>
      </c>
      <c r="Q14" s="171" t="s">
        <v>769</v>
      </c>
      <c r="R14" s="171" t="s">
        <v>697</v>
      </c>
      <c r="S14" s="196" t="s">
        <v>771</v>
      </c>
      <c r="T14" s="196" t="s">
        <v>771</v>
      </c>
      <c r="U14" s="196" t="s">
        <v>771</v>
      </c>
      <c r="V14" s="196" t="s">
        <v>771</v>
      </c>
      <c r="W14" s="196" t="s">
        <v>771</v>
      </c>
      <c r="X14" s="196" t="s">
        <v>771</v>
      </c>
      <c r="Y14" s="171" t="s">
        <v>694</v>
      </c>
      <c r="Z14" s="196" t="s">
        <v>771</v>
      </c>
      <c r="AA14" s="196" t="s">
        <v>771</v>
      </c>
      <c r="AB14" s="196" t="s">
        <v>771</v>
      </c>
      <c r="AC14" s="196" t="s">
        <v>771</v>
      </c>
      <c r="AJ14" s="171" t="s">
        <v>719</v>
      </c>
      <c r="AK14" s="171" t="s">
        <v>792</v>
      </c>
    </row>
    <row r="15" spans="1:37" x14ac:dyDescent="0.25">
      <c r="A15" s="171" t="s">
        <v>998</v>
      </c>
      <c r="B15" s="171" t="s">
        <v>186</v>
      </c>
      <c r="C15" s="171" t="s">
        <v>240</v>
      </c>
      <c r="E15" s="238" t="s">
        <v>674</v>
      </c>
      <c r="F15" s="171" t="s">
        <v>1007</v>
      </c>
      <c r="G15" s="238" t="s">
        <v>566</v>
      </c>
      <c r="H15" s="171" t="s">
        <v>186</v>
      </c>
      <c r="I15" s="238">
        <v>600</v>
      </c>
      <c r="J15" s="171" t="s">
        <v>187</v>
      </c>
      <c r="K15" s="196" t="s">
        <v>771</v>
      </c>
      <c r="L15" s="196" t="s">
        <v>771</v>
      </c>
      <c r="M15" s="196" t="s">
        <v>771</v>
      </c>
      <c r="N15" s="196" t="s">
        <v>771</v>
      </c>
      <c r="O15" s="196" t="s">
        <v>771</v>
      </c>
      <c r="P15" s="196" t="s">
        <v>771</v>
      </c>
      <c r="Q15" s="171" t="s">
        <v>769</v>
      </c>
      <c r="R15" s="171" t="s">
        <v>697</v>
      </c>
      <c r="S15" s="196" t="s">
        <v>771</v>
      </c>
      <c r="T15" s="196" t="s">
        <v>771</v>
      </c>
      <c r="U15" s="196" t="s">
        <v>771</v>
      </c>
      <c r="V15" s="196" t="s">
        <v>771</v>
      </c>
      <c r="W15" s="196" t="s">
        <v>771</v>
      </c>
      <c r="X15" s="196" t="s">
        <v>771</v>
      </c>
      <c r="Y15" s="171" t="s">
        <v>694</v>
      </c>
      <c r="Z15" s="196" t="s">
        <v>771</v>
      </c>
      <c r="AA15" s="196" t="s">
        <v>771</v>
      </c>
      <c r="AB15" s="196" t="s">
        <v>771</v>
      </c>
      <c r="AC15" s="196" t="s">
        <v>771</v>
      </c>
      <c r="AJ15" s="171" t="s">
        <v>688</v>
      </c>
      <c r="AK15" s="171" t="s">
        <v>793</v>
      </c>
    </row>
    <row r="16" spans="1:37" x14ac:dyDescent="0.25">
      <c r="A16" s="171" t="s">
        <v>638</v>
      </c>
      <c r="B16" s="171" t="s">
        <v>188</v>
      </c>
      <c r="C16" s="171" t="s">
        <v>239</v>
      </c>
      <c r="E16" s="238" t="s">
        <v>674</v>
      </c>
      <c r="F16" s="171" t="s">
        <v>1007</v>
      </c>
      <c r="G16" s="238" t="s">
        <v>567</v>
      </c>
      <c r="H16" s="171" t="s">
        <v>188</v>
      </c>
      <c r="I16" s="238">
        <v>650</v>
      </c>
      <c r="J16" s="171" t="s">
        <v>189</v>
      </c>
      <c r="K16" s="196" t="s">
        <v>771</v>
      </c>
      <c r="L16" s="196" t="s">
        <v>771</v>
      </c>
      <c r="M16" s="196" t="s">
        <v>771</v>
      </c>
      <c r="N16" s="196" t="s">
        <v>771</v>
      </c>
      <c r="O16" s="196" t="s">
        <v>771</v>
      </c>
      <c r="P16" s="196" t="s">
        <v>771</v>
      </c>
      <c r="Q16" s="171" t="s">
        <v>769</v>
      </c>
      <c r="R16" s="171" t="s">
        <v>697</v>
      </c>
      <c r="S16" s="196" t="s">
        <v>771</v>
      </c>
      <c r="T16" s="196" t="s">
        <v>771</v>
      </c>
      <c r="U16" s="196" t="s">
        <v>771</v>
      </c>
      <c r="V16" s="196" t="s">
        <v>771</v>
      </c>
      <c r="W16" s="196" t="s">
        <v>771</v>
      </c>
      <c r="X16" s="196" t="s">
        <v>771</v>
      </c>
      <c r="Y16" s="171" t="s">
        <v>694</v>
      </c>
      <c r="Z16" s="196" t="s">
        <v>771</v>
      </c>
      <c r="AA16" s="196" t="s">
        <v>771</v>
      </c>
      <c r="AB16" s="196" t="s">
        <v>771</v>
      </c>
      <c r="AC16" s="196" t="s">
        <v>771</v>
      </c>
      <c r="AJ16" s="171" t="s">
        <v>725</v>
      </c>
      <c r="AK16" s="171" t="s">
        <v>794</v>
      </c>
    </row>
    <row r="17" spans="1:37" x14ac:dyDescent="0.25">
      <c r="A17" s="171" t="s">
        <v>637</v>
      </c>
      <c r="B17" s="171" t="s">
        <v>190</v>
      </c>
      <c r="C17" s="171" t="s">
        <v>278</v>
      </c>
      <c r="E17" s="238" t="s">
        <v>674</v>
      </c>
      <c r="F17" s="171" t="s">
        <v>1007</v>
      </c>
      <c r="G17" s="238" t="s">
        <v>568</v>
      </c>
      <c r="H17" s="171" t="s">
        <v>190</v>
      </c>
      <c r="I17" s="238">
        <v>900</v>
      </c>
      <c r="J17" s="171" t="s">
        <v>191</v>
      </c>
      <c r="K17" s="196" t="s">
        <v>771</v>
      </c>
      <c r="L17" s="196" t="s">
        <v>771</v>
      </c>
      <c r="M17" s="196" t="s">
        <v>771</v>
      </c>
      <c r="N17" s="196" t="s">
        <v>771</v>
      </c>
      <c r="O17" s="196" t="s">
        <v>771</v>
      </c>
      <c r="P17" s="196" t="s">
        <v>771</v>
      </c>
      <c r="Q17" s="171" t="s">
        <v>769</v>
      </c>
      <c r="R17" s="171" t="s">
        <v>697</v>
      </c>
      <c r="S17" s="196" t="s">
        <v>771</v>
      </c>
      <c r="T17" s="196" t="s">
        <v>771</v>
      </c>
      <c r="U17" s="196" t="s">
        <v>771</v>
      </c>
      <c r="V17" s="196" t="s">
        <v>771</v>
      </c>
      <c r="W17" s="196" t="s">
        <v>771</v>
      </c>
      <c r="X17" s="196" t="s">
        <v>771</v>
      </c>
      <c r="Y17" s="171" t="s">
        <v>694</v>
      </c>
      <c r="Z17" s="196" t="s">
        <v>771</v>
      </c>
      <c r="AA17" s="196" t="s">
        <v>771</v>
      </c>
      <c r="AB17" s="196" t="s">
        <v>771</v>
      </c>
      <c r="AC17" s="196" t="s">
        <v>771</v>
      </c>
      <c r="AJ17" s="171" t="s">
        <v>713</v>
      </c>
      <c r="AK17" s="171" t="s">
        <v>794</v>
      </c>
    </row>
    <row r="18" spans="1:37" x14ac:dyDescent="0.25">
      <c r="A18" s="171" t="s">
        <v>1004</v>
      </c>
      <c r="B18" s="171" t="s">
        <v>192</v>
      </c>
      <c r="C18" s="171" t="s">
        <v>258</v>
      </c>
      <c r="E18" s="238" t="s">
        <v>674</v>
      </c>
      <c r="F18" s="171" t="s">
        <v>1007</v>
      </c>
      <c r="G18" s="238" t="s">
        <v>569</v>
      </c>
      <c r="H18" s="171" t="s">
        <v>192</v>
      </c>
      <c r="I18" s="238">
        <v>950</v>
      </c>
      <c r="J18" s="171" t="s">
        <v>193</v>
      </c>
      <c r="K18" s="196" t="s">
        <v>771</v>
      </c>
      <c r="L18" s="196" t="s">
        <v>771</v>
      </c>
      <c r="M18" s="196" t="s">
        <v>771</v>
      </c>
      <c r="N18" s="196" t="s">
        <v>771</v>
      </c>
      <c r="O18" s="196" t="s">
        <v>771</v>
      </c>
      <c r="P18" s="196" t="s">
        <v>771</v>
      </c>
      <c r="Q18" s="171" t="s">
        <v>769</v>
      </c>
      <c r="R18" s="171" t="s">
        <v>697</v>
      </c>
      <c r="S18" s="196" t="s">
        <v>771</v>
      </c>
      <c r="T18" s="196" t="s">
        <v>771</v>
      </c>
      <c r="U18" s="196" t="s">
        <v>771</v>
      </c>
      <c r="V18" s="196" t="s">
        <v>771</v>
      </c>
      <c r="W18" s="196" t="s">
        <v>771</v>
      </c>
      <c r="X18" s="196" t="s">
        <v>771</v>
      </c>
      <c r="Y18" s="171" t="s">
        <v>694</v>
      </c>
      <c r="Z18" s="196" t="s">
        <v>771</v>
      </c>
      <c r="AA18" s="196" t="s">
        <v>771</v>
      </c>
      <c r="AB18" s="196" t="s">
        <v>771</v>
      </c>
      <c r="AC18" s="196" t="s">
        <v>771</v>
      </c>
      <c r="AJ18" s="171" t="s">
        <v>746</v>
      </c>
      <c r="AK18" s="171" t="s">
        <v>795</v>
      </c>
    </row>
    <row r="19" spans="1:37" x14ac:dyDescent="0.25">
      <c r="A19" s="171" t="s">
        <v>329</v>
      </c>
      <c r="B19" s="171" t="s">
        <v>125</v>
      </c>
      <c r="C19" s="171" t="s">
        <v>280</v>
      </c>
      <c r="E19" s="238" t="s">
        <v>674</v>
      </c>
      <c r="F19" s="171" t="s">
        <v>1007</v>
      </c>
      <c r="G19" s="238" t="s">
        <v>570</v>
      </c>
      <c r="H19" s="171" t="s">
        <v>194</v>
      </c>
      <c r="I19" s="238" t="s">
        <v>383</v>
      </c>
      <c r="J19" s="171" t="s">
        <v>195</v>
      </c>
      <c r="K19" s="196" t="s">
        <v>771</v>
      </c>
      <c r="L19" s="196" t="s">
        <v>771</v>
      </c>
      <c r="M19" s="196" t="s">
        <v>771</v>
      </c>
      <c r="N19" s="196" t="s">
        <v>771</v>
      </c>
      <c r="O19" s="196" t="s">
        <v>771</v>
      </c>
      <c r="P19" s="196" t="s">
        <v>771</v>
      </c>
      <c r="Q19" s="171" t="s">
        <v>769</v>
      </c>
      <c r="R19" s="171" t="s">
        <v>698</v>
      </c>
      <c r="S19" s="196" t="s">
        <v>771</v>
      </c>
      <c r="T19" s="196" t="s">
        <v>771</v>
      </c>
      <c r="U19" s="196" t="s">
        <v>771</v>
      </c>
      <c r="V19" s="196" t="s">
        <v>771</v>
      </c>
      <c r="W19" s="196" t="s">
        <v>771</v>
      </c>
      <c r="X19" s="196" t="s">
        <v>771</v>
      </c>
      <c r="Y19" s="171"/>
      <c r="Z19" s="196" t="s">
        <v>771</v>
      </c>
      <c r="AA19" s="196" t="s">
        <v>771</v>
      </c>
      <c r="AB19" s="196" t="s">
        <v>771</v>
      </c>
      <c r="AC19" s="196" t="s">
        <v>771</v>
      </c>
      <c r="AJ19" s="171" t="s">
        <v>718</v>
      </c>
      <c r="AK19" s="171" t="s">
        <v>796</v>
      </c>
    </row>
    <row r="20" spans="1:37" x14ac:dyDescent="0.25">
      <c r="A20" s="171" t="s">
        <v>634</v>
      </c>
      <c r="B20" s="171" t="s">
        <v>229</v>
      </c>
      <c r="C20" s="171" t="s">
        <v>226</v>
      </c>
      <c r="E20" s="238" t="s">
        <v>670</v>
      </c>
      <c r="F20" s="171" t="s">
        <v>941</v>
      </c>
      <c r="G20" s="238" t="s">
        <v>622</v>
      </c>
      <c r="H20" s="171" t="s">
        <v>330</v>
      </c>
      <c r="I20" s="238" t="s">
        <v>516</v>
      </c>
      <c r="J20" s="171" t="s">
        <v>330</v>
      </c>
      <c r="K20" s="196" t="s">
        <v>771</v>
      </c>
      <c r="L20" s="196" t="s">
        <v>771</v>
      </c>
      <c r="M20" s="196" t="s">
        <v>771</v>
      </c>
      <c r="N20" s="196" t="s">
        <v>771</v>
      </c>
      <c r="O20" s="196" t="s">
        <v>771</v>
      </c>
      <c r="P20" s="196" t="s">
        <v>771</v>
      </c>
      <c r="Q20" s="171" t="s">
        <v>769</v>
      </c>
      <c r="R20" s="171" t="s">
        <v>765</v>
      </c>
      <c r="S20" s="196" t="s">
        <v>771</v>
      </c>
      <c r="T20" s="196" t="s">
        <v>771</v>
      </c>
      <c r="U20" s="196" t="s">
        <v>771</v>
      </c>
      <c r="V20" s="196" t="s">
        <v>771</v>
      </c>
      <c r="W20" s="196" t="s">
        <v>771</v>
      </c>
      <c r="X20" s="196" t="s">
        <v>771</v>
      </c>
      <c r="Y20" s="196" t="s">
        <v>771</v>
      </c>
      <c r="Z20" s="196" t="s">
        <v>771</v>
      </c>
      <c r="AA20" s="196" t="s">
        <v>771</v>
      </c>
      <c r="AB20" s="196" t="s">
        <v>771</v>
      </c>
      <c r="AC20" s="196" t="s">
        <v>771</v>
      </c>
      <c r="AJ20" s="171" t="s">
        <v>706</v>
      </c>
      <c r="AK20" s="171" t="s">
        <v>797</v>
      </c>
    </row>
    <row r="21" spans="1:37" x14ac:dyDescent="0.25">
      <c r="A21" s="171" t="s">
        <v>640</v>
      </c>
      <c r="B21" s="171" t="s">
        <v>304</v>
      </c>
      <c r="C21" s="171" t="s">
        <v>169</v>
      </c>
      <c r="E21" s="238" t="s">
        <v>670</v>
      </c>
      <c r="F21" s="171" t="s">
        <v>941</v>
      </c>
      <c r="G21" s="238" t="s">
        <v>622</v>
      </c>
      <c r="H21" s="171" t="s">
        <v>337</v>
      </c>
      <c r="I21" s="238" t="s">
        <v>517</v>
      </c>
      <c r="J21" s="171" t="s">
        <v>337</v>
      </c>
      <c r="K21" s="196" t="s">
        <v>771</v>
      </c>
      <c r="L21" s="196" t="s">
        <v>771</v>
      </c>
      <c r="M21" s="196" t="s">
        <v>771</v>
      </c>
      <c r="N21" s="196" t="s">
        <v>771</v>
      </c>
      <c r="O21" s="196" t="s">
        <v>771</v>
      </c>
      <c r="P21" s="196" t="s">
        <v>771</v>
      </c>
      <c r="Q21" s="171" t="s">
        <v>769</v>
      </c>
      <c r="R21" s="171" t="s">
        <v>765</v>
      </c>
      <c r="S21" s="196" t="s">
        <v>771</v>
      </c>
      <c r="T21" s="196" t="s">
        <v>771</v>
      </c>
      <c r="U21" s="196" t="s">
        <v>771</v>
      </c>
      <c r="V21" s="196" t="s">
        <v>771</v>
      </c>
      <c r="W21" s="196" t="s">
        <v>771</v>
      </c>
      <c r="X21" s="196" t="s">
        <v>771</v>
      </c>
      <c r="Y21" s="196" t="s">
        <v>771</v>
      </c>
      <c r="Z21" s="196" t="s">
        <v>771</v>
      </c>
      <c r="AA21" s="196" t="s">
        <v>771</v>
      </c>
      <c r="AB21" s="196" t="s">
        <v>771</v>
      </c>
      <c r="AC21" s="196" t="s">
        <v>771</v>
      </c>
      <c r="AJ21" s="171" t="s">
        <v>726</v>
      </c>
      <c r="AK21" s="171" t="s">
        <v>798</v>
      </c>
    </row>
    <row r="22" spans="1:37" x14ac:dyDescent="0.25">
      <c r="A22" s="171" t="s">
        <v>642</v>
      </c>
      <c r="B22" s="171" t="s">
        <v>330</v>
      </c>
      <c r="C22" s="171" t="s">
        <v>171</v>
      </c>
      <c r="E22" s="238" t="s">
        <v>671</v>
      </c>
      <c r="F22" s="171" t="s">
        <v>646</v>
      </c>
      <c r="G22" s="238" t="s">
        <v>623</v>
      </c>
      <c r="H22" s="171" t="s">
        <v>331</v>
      </c>
      <c r="I22" s="238" t="s">
        <v>518</v>
      </c>
      <c r="J22" s="171" t="s">
        <v>331</v>
      </c>
      <c r="K22" s="196" t="s">
        <v>771</v>
      </c>
      <c r="L22" s="196" t="s">
        <v>771</v>
      </c>
      <c r="M22" s="196" t="s">
        <v>771</v>
      </c>
      <c r="N22" s="196" t="s">
        <v>771</v>
      </c>
      <c r="O22" s="196" t="s">
        <v>771</v>
      </c>
      <c r="P22" s="196" t="s">
        <v>771</v>
      </c>
      <c r="Q22" s="171" t="s">
        <v>769</v>
      </c>
      <c r="R22" s="171" t="s">
        <v>766</v>
      </c>
      <c r="S22" s="196" t="s">
        <v>771</v>
      </c>
      <c r="T22" s="196" t="s">
        <v>771</v>
      </c>
      <c r="U22" s="196" t="s">
        <v>771</v>
      </c>
      <c r="V22" s="196" t="s">
        <v>771</v>
      </c>
      <c r="W22" s="196" t="s">
        <v>771</v>
      </c>
      <c r="X22" s="196" t="s">
        <v>771</v>
      </c>
      <c r="Y22" s="196" t="s">
        <v>771</v>
      </c>
      <c r="Z22" s="196" t="s">
        <v>771</v>
      </c>
      <c r="AA22" s="196" t="s">
        <v>771</v>
      </c>
      <c r="AB22" s="196" t="s">
        <v>771</v>
      </c>
      <c r="AC22" s="196" t="s">
        <v>771</v>
      </c>
      <c r="AJ22" s="171" t="s">
        <v>760</v>
      </c>
      <c r="AK22" s="171" t="s">
        <v>799</v>
      </c>
    </row>
    <row r="23" spans="1:37" x14ac:dyDescent="0.25">
      <c r="A23" s="171" t="s">
        <v>644</v>
      </c>
      <c r="B23" s="171" t="s">
        <v>151</v>
      </c>
      <c r="C23" s="171" t="s">
        <v>283</v>
      </c>
      <c r="E23" s="238" t="s">
        <v>671</v>
      </c>
      <c r="F23" s="171" t="s">
        <v>646</v>
      </c>
      <c r="G23" s="238" t="s">
        <v>624</v>
      </c>
      <c r="H23" s="171" t="s">
        <v>332</v>
      </c>
      <c r="I23" s="238" t="s">
        <v>519</v>
      </c>
      <c r="J23" s="171" t="s">
        <v>332</v>
      </c>
      <c r="K23" s="196" t="s">
        <v>771</v>
      </c>
      <c r="L23" s="196" t="s">
        <v>771</v>
      </c>
      <c r="M23" s="196" t="s">
        <v>771</v>
      </c>
      <c r="N23" s="196" t="s">
        <v>771</v>
      </c>
      <c r="O23" s="196" t="s">
        <v>771</v>
      </c>
      <c r="P23" s="196" t="s">
        <v>771</v>
      </c>
      <c r="Q23" s="171" t="s">
        <v>769</v>
      </c>
      <c r="R23" s="171" t="s">
        <v>766</v>
      </c>
      <c r="S23" s="196" t="s">
        <v>771</v>
      </c>
      <c r="T23" s="196" t="s">
        <v>771</v>
      </c>
      <c r="U23" s="196" t="s">
        <v>771</v>
      </c>
      <c r="V23" s="196" t="s">
        <v>771</v>
      </c>
      <c r="W23" s="196" t="s">
        <v>771</v>
      </c>
      <c r="X23" s="196" t="s">
        <v>771</v>
      </c>
      <c r="Y23" s="196" t="s">
        <v>771</v>
      </c>
      <c r="Z23" s="196" t="s">
        <v>771</v>
      </c>
      <c r="AA23" s="196" t="s">
        <v>771</v>
      </c>
      <c r="AB23" s="196" t="s">
        <v>771</v>
      </c>
      <c r="AC23" s="196" t="s">
        <v>771</v>
      </c>
      <c r="AJ23" s="171" t="s">
        <v>702</v>
      </c>
      <c r="AK23" s="171" t="s">
        <v>800</v>
      </c>
    </row>
    <row r="24" spans="1:37" x14ac:dyDescent="0.25">
      <c r="A24" s="171" t="s">
        <v>632</v>
      </c>
      <c r="B24" s="171" t="s">
        <v>238</v>
      </c>
      <c r="C24" s="171" t="s">
        <v>952</v>
      </c>
      <c r="E24" s="238" t="s">
        <v>671</v>
      </c>
      <c r="F24" s="171" t="s">
        <v>646</v>
      </c>
      <c r="G24" s="238" t="s">
        <v>625</v>
      </c>
      <c r="H24" s="171" t="s">
        <v>333</v>
      </c>
      <c r="I24" s="238" t="s">
        <v>520</v>
      </c>
      <c r="J24" s="171" t="s">
        <v>333</v>
      </c>
      <c r="K24" s="196" t="s">
        <v>771</v>
      </c>
      <c r="L24" s="196" t="s">
        <v>771</v>
      </c>
      <c r="M24" s="196" t="s">
        <v>771</v>
      </c>
      <c r="N24" s="196" t="s">
        <v>771</v>
      </c>
      <c r="O24" s="196" t="s">
        <v>771</v>
      </c>
      <c r="P24" s="196" t="s">
        <v>771</v>
      </c>
      <c r="Q24" s="171" t="s">
        <v>769</v>
      </c>
      <c r="R24" s="171" t="s">
        <v>766</v>
      </c>
      <c r="S24" s="196" t="s">
        <v>771</v>
      </c>
      <c r="T24" s="196" t="s">
        <v>771</v>
      </c>
      <c r="U24" s="196" t="s">
        <v>771</v>
      </c>
      <c r="V24" s="196" t="s">
        <v>771</v>
      </c>
      <c r="W24" s="196" t="s">
        <v>771</v>
      </c>
      <c r="X24" s="196" t="s">
        <v>771</v>
      </c>
      <c r="Y24" s="196" t="s">
        <v>771</v>
      </c>
      <c r="Z24" s="196" t="s">
        <v>771</v>
      </c>
      <c r="AA24" s="196" t="s">
        <v>771</v>
      </c>
      <c r="AB24" s="196" t="s">
        <v>771</v>
      </c>
      <c r="AC24" s="196" t="s">
        <v>771</v>
      </c>
      <c r="AJ24" s="171" t="s">
        <v>745</v>
      </c>
      <c r="AK24" s="171" t="s">
        <v>801</v>
      </c>
    </row>
    <row r="25" spans="1:37" x14ac:dyDescent="0.25">
      <c r="A25" s="171" t="s">
        <v>633</v>
      </c>
      <c r="B25" s="171" t="s">
        <v>952</v>
      </c>
      <c r="C25" s="171" t="s">
        <v>152</v>
      </c>
      <c r="E25" s="238" t="s">
        <v>654</v>
      </c>
      <c r="F25" s="171" t="s">
        <v>635</v>
      </c>
      <c r="G25" s="238" t="s">
        <v>548</v>
      </c>
      <c r="H25" s="171" t="s">
        <v>156</v>
      </c>
      <c r="I25" s="238" t="s">
        <v>377</v>
      </c>
      <c r="J25" s="171" t="s">
        <v>156</v>
      </c>
      <c r="K25" s="196" t="s">
        <v>771</v>
      </c>
      <c r="L25" s="196" t="s">
        <v>771</v>
      </c>
      <c r="M25" s="196" t="s">
        <v>771</v>
      </c>
      <c r="N25" s="196" t="s">
        <v>771</v>
      </c>
      <c r="O25" s="196" t="s">
        <v>771</v>
      </c>
      <c r="P25" s="196" t="s">
        <v>771</v>
      </c>
      <c r="Q25" s="171" t="s">
        <v>769</v>
      </c>
      <c r="R25" s="171" t="s">
        <v>693</v>
      </c>
      <c r="S25" s="196" t="s">
        <v>771</v>
      </c>
      <c r="T25" s="196" t="s">
        <v>771</v>
      </c>
      <c r="U25" s="196" t="s">
        <v>771</v>
      </c>
      <c r="V25" s="196" t="s">
        <v>771</v>
      </c>
      <c r="W25" s="196" t="s">
        <v>771</v>
      </c>
      <c r="X25" s="196" t="s">
        <v>771</v>
      </c>
      <c r="Y25" s="196" t="s">
        <v>771</v>
      </c>
      <c r="Z25" s="196" t="s">
        <v>771</v>
      </c>
      <c r="AA25" s="196" t="s">
        <v>771</v>
      </c>
      <c r="AB25" s="196" t="s">
        <v>771</v>
      </c>
      <c r="AC25" s="196" t="s">
        <v>771</v>
      </c>
      <c r="AJ25" s="171" t="s">
        <v>690</v>
      </c>
      <c r="AK25" s="171" t="s">
        <v>802</v>
      </c>
    </row>
    <row r="26" spans="1:37" x14ac:dyDescent="0.25">
      <c r="A26" s="171" t="s">
        <v>636</v>
      </c>
      <c r="B26" s="171" t="s">
        <v>306</v>
      </c>
      <c r="C26" s="171" t="s">
        <v>303</v>
      </c>
      <c r="E26" s="238" t="s">
        <v>654</v>
      </c>
      <c r="F26" s="171" t="s">
        <v>635</v>
      </c>
      <c r="G26" s="238" t="s">
        <v>549</v>
      </c>
      <c r="H26" s="171" t="s">
        <v>157</v>
      </c>
      <c r="I26" s="238" t="s">
        <v>378</v>
      </c>
      <c r="J26" s="171" t="s">
        <v>157</v>
      </c>
      <c r="K26" s="196" t="s">
        <v>771</v>
      </c>
      <c r="L26" s="196" t="s">
        <v>771</v>
      </c>
      <c r="M26" s="196" t="s">
        <v>771</v>
      </c>
      <c r="N26" s="196" t="s">
        <v>771</v>
      </c>
      <c r="O26" s="196" t="s">
        <v>771</v>
      </c>
      <c r="P26" s="196" t="s">
        <v>771</v>
      </c>
      <c r="Q26" s="171" t="s">
        <v>769</v>
      </c>
      <c r="R26" s="171" t="s">
        <v>693</v>
      </c>
      <c r="S26" s="196" t="s">
        <v>771</v>
      </c>
      <c r="T26" s="196" t="s">
        <v>771</v>
      </c>
      <c r="U26" s="196" t="s">
        <v>771</v>
      </c>
      <c r="V26" s="196" t="s">
        <v>771</v>
      </c>
      <c r="W26" s="196" t="s">
        <v>771</v>
      </c>
      <c r="X26" s="196" t="s">
        <v>771</v>
      </c>
      <c r="Y26" s="196" t="s">
        <v>771</v>
      </c>
      <c r="Z26" s="196" t="s">
        <v>771</v>
      </c>
      <c r="AA26" s="196" t="s">
        <v>771</v>
      </c>
      <c r="AB26" s="196" t="s">
        <v>771</v>
      </c>
      <c r="AC26" s="196" t="s">
        <v>771</v>
      </c>
      <c r="AJ26" s="171" t="s">
        <v>739</v>
      </c>
      <c r="AK26" s="171" t="s">
        <v>803</v>
      </c>
    </row>
    <row r="27" spans="1:37" x14ac:dyDescent="0.25">
      <c r="A27" s="171" t="s">
        <v>631</v>
      </c>
      <c r="B27" s="171" t="s">
        <v>152</v>
      </c>
      <c r="C27" s="171" t="s">
        <v>276</v>
      </c>
      <c r="E27" s="238" t="s">
        <v>654</v>
      </c>
      <c r="F27" s="171" t="s">
        <v>635</v>
      </c>
      <c r="G27" s="238" t="s">
        <v>550</v>
      </c>
      <c r="H27" s="171" t="s">
        <v>158</v>
      </c>
      <c r="I27" s="238" t="s">
        <v>379</v>
      </c>
      <c r="J27" s="171" t="s">
        <v>158</v>
      </c>
      <c r="K27" s="196" t="s">
        <v>771</v>
      </c>
      <c r="L27" s="196" t="s">
        <v>771</v>
      </c>
      <c r="M27" s="196" t="s">
        <v>771</v>
      </c>
      <c r="N27" s="196" t="s">
        <v>771</v>
      </c>
      <c r="O27" s="196" t="s">
        <v>771</v>
      </c>
      <c r="P27" s="196" t="s">
        <v>771</v>
      </c>
      <c r="Q27" s="171" t="s">
        <v>769</v>
      </c>
      <c r="R27" s="171" t="s">
        <v>693</v>
      </c>
      <c r="S27" s="196" t="s">
        <v>771</v>
      </c>
      <c r="T27" s="196" t="s">
        <v>771</v>
      </c>
      <c r="U27" s="196" t="s">
        <v>771</v>
      </c>
      <c r="V27" s="196" t="s">
        <v>771</v>
      </c>
      <c r="W27" s="196" t="s">
        <v>771</v>
      </c>
      <c r="X27" s="196" t="s">
        <v>771</v>
      </c>
      <c r="Y27" s="196" t="s">
        <v>771</v>
      </c>
      <c r="Z27" s="196" t="s">
        <v>771</v>
      </c>
      <c r="AA27" s="196" t="s">
        <v>771</v>
      </c>
      <c r="AB27" s="196" t="s">
        <v>771</v>
      </c>
      <c r="AC27" s="196" t="s">
        <v>771</v>
      </c>
      <c r="AJ27" s="171" t="s">
        <v>740</v>
      </c>
      <c r="AK27" s="171" t="s">
        <v>804</v>
      </c>
    </row>
    <row r="28" spans="1:37" x14ac:dyDescent="0.25">
      <c r="A28" s="171" t="s">
        <v>1006</v>
      </c>
      <c r="B28" s="171" t="s">
        <v>303</v>
      </c>
      <c r="C28" s="171" t="s">
        <v>300</v>
      </c>
      <c r="E28" s="238" t="s">
        <v>664</v>
      </c>
      <c r="F28" s="171" t="s">
        <v>1006</v>
      </c>
      <c r="G28" s="238" t="s">
        <v>608</v>
      </c>
      <c r="H28" s="171" t="s">
        <v>311</v>
      </c>
      <c r="I28" s="238" t="s">
        <v>497</v>
      </c>
      <c r="J28" s="171" t="s">
        <v>311</v>
      </c>
      <c r="K28" s="196" t="s">
        <v>771</v>
      </c>
      <c r="L28" s="196" t="s">
        <v>771</v>
      </c>
      <c r="M28" s="196" t="s">
        <v>771</v>
      </c>
      <c r="N28" s="196" t="s">
        <v>771</v>
      </c>
      <c r="O28" s="196" t="s">
        <v>771</v>
      </c>
      <c r="P28" s="196" t="s">
        <v>771</v>
      </c>
      <c r="Q28" s="171" t="s">
        <v>769</v>
      </c>
      <c r="R28" s="171" t="s">
        <v>742</v>
      </c>
      <c r="S28" s="171" t="s">
        <v>769</v>
      </c>
      <c r="T28" s="171" t="s">
        <v>743</v>
      </c>
      <c r="U28" s="196" t="s">
        <v>771</v>
      </c>
      <c r="V28" s="196" t="s">
        <v>771</v>
      </c>
      <c r="W28" s="196" t="s">
        <v>771</v>
      </c>
      <c r="X28" s="196" t="s">
        <v>771</v>
      </c>
      <c r="Y28" s="196" t="s">
        <v>771</v>
      </c>
      <c r="Z28" s="171" t="s">
        <v>744</v>
      </c>
      <c r="AA28" s="171" t="s">
        <v>745</v>
      </c>
      <c r="AB28" s="196" t="s">
        <v>771</v>
      </c>
      <c r="AC28" s="196" t="s">
        <v>771</v>
      </c>
      <c r="AJ28" s="171" t="s">
        <v>763</v>
      </c>
      <c r="AK28" s="171" t="s">
        <v>805</v>
      </c>
    </row>
    <row r="29" spans="1:37" x14ac:dyDescent="0.25">
      <c r="B29" s="171" t="s">
        <v>300</v>
      </c>
      <c r="C29" s="171" t="s">
        <v>210</v>
      </c>
      <c r="E29" s="238" t="s">
        <v>664</v>
      </c>
      <c r="F29" s="171" t="s">
        <v>1006</v>
      </c>
      <c r="G29" s="238" t="s">
        <v>608</v>
      </c>
      <c r="H29" s="171" t="s">
        <v>311</v>
      </c>
      <c r="I29" s="238" t="s">
        <v>498</v>
      </c>
      <c r="J29" s="171" t="s">
        <v>312</v>
      </c>
      <c r="K29" s="196" t="s">
        <v>771</v>
      </c>
      <c r="L29" s="196" t="s">
        <v>771</v>
      </c>
      <c r="M29" s="196" t="s">
        <v>771</v>
      </c>
      <c r="N29" s="196" t="s">
        <v>771</v>
      </c>
      <c r="O29" s="196" t="s">
        <v>771</v>
      </c>
      <c r="P29" s="196" t="s">
        <v>771</v>
      </c>
      <c r="Q29" s="171" t="s">
        <v>769</v>
      </c>
      <c r="R29" s="171" t="s">
        <v>742</v>
      </c>
      <c r="S29" s="171" t="s">
        <v>769</v>
      </c>
      <c r="T29" s="171" t="s">
        <v>743</v>
      </c>
      <c r="U29" s="196" t="s">
        <v>771</v>
      </c>
      <c r="V29" s="196" t="s">
        <v>771</v>
      </c>
      <c r="W29" s="196" t="s">
        <v>771</v>
      </c>
      <c r="X29" s="196" t="s">
        <v>771</v>
      </c>
      <c r="Y29" s="196" t="s">
        <v>771</v>
      </c>
      <c r="Z29" s="171" t="s">
        <v>744</v>
      </c>
      <c r="AA29" s="171" t="s">
        <v>745</v>
      </c>
      <c r="AB29" s="196" t="s">
        <v>771</v>
      </c>
      <c r="AC29" s="196" t="s">
        <v>771</v>
      </c>
      <c r="AJ29" s="171" t="s">
        <v>765</v>
      </c>
      <c r="AK29" s="171" t="s">
        <v>942</v>
      </c>
    </row>
    <row r="30" spans="1:37" x14ac:dyDescent="0.25">
      <c r="B30" s="171" t="s">
        <v>316</v>
      </c>
      <c r="C30" s="171" t="s">
        <v>316</v>
      </c>
      <c r="E30" s="238" t="s">
        <v>664</v>
      </c>
      <c r="F30" s="171" t="s">
        <v>1006</v>
      </c>
      <c r="G30" s="238" t="s">
        <v>608</v>
      </c>
      <c r="H30" s="171" t="s">
        <v>311</v>
      </c>
      <c r="I30" s="238" t="s">
        <v>499</v>
      </c>
      <c r="J30" s="171" t="s">
        <v>313</v>
      </c>
      <c r="K30" s="196" t="s">
        <v>771</v>
      </c>
      <c r="L30" s="196" t="s">
        <v>771</v>
      </c>
      <c r="M30" s="196" t="s">
        <v>771</v>
      </c>
      <c r="N30" s="196" t="s">
        <v>771</v>
      </c>
      <c r="O30" s="196" t="s">
        <v>771</v>
      </c>
      <c r="P30" s="196" t="s">
        <v>771</v>
      </c>
      <c r="Q30" s="171" t="s">
        <v>769</v>
      </c>
      <c r="R30" s="171" t="s">
        <v>742</v>
      </c>
      <c r="S30" s="171" t="s">
        <v>769</v>
      </c>
      <c r="T30" s="171" t="s">
        <v>743</v>
      </c>
      <c r="U30" s="196" t="s">
        <v>771</v>
      </c>
      <c r="V30" s="196" t="s">
        <v>771</v>
      </c>
      <c r="W30" s="196" t="s">
        <v>771</v>
      </c>
      <c r="X30" s="196" t="s">
        <v>771</v>
      </c>
      <c r="Y30" s="196" t="s">
        <v>771</v>
      </c>
      <c r="Z30" s="171" t="s">
        <v>744</v>
      </c>
      <c r="AA30" s="171" t="s">
        <v>745</v>
      </c>
      <c r="AB30" s="196" t="s">
        <v>771</v>
      </c>
      <c r="AC30" s="196" t="s">
        <v>771</v>
      </c>
      <c r="AJ30" s="171" t="s">
        <v>680</v>
      </c>
      <c r="AK30" s="171" t="s">
        <v>806</v>
      </c>
    </row>
    <row r="31" spans="1:37" x14ac:dyDescent="0.25">
      <c r="B31" s="171" t="s">
        <v>118</v>
      </c>
      <c r="C31" s="171" t="s">
        <v>132</v>
      </c>
      <c r="E31" s="238" t="s">
        <v>664</v>
      </c>
      <c r="F31" s="171" t="s">
        <v>1006</v>
      </c>
      <c r="G31" s="238" t="s">
        <v>608</v>
      </c>
      <c r="H31" s="171" t="s">
        <v>311</v>
      </c>
      <c r="I31" s="238" t="s">
        <v>500</v>
      </c>
      <c r="J31" s="171" t="s">
        <v>314</v>
      </c>
      <c r="K31" s="196" t="s">
        <v>771</v>
      </c>
      <c r="L31" s="196" t="s">
        <v>771</v>
      </c>
      <c r="M31" s="196" t="s">
        <v>771</v>
      </c>
      <c r="N31" s="196" t="s">
        <v>771</v>
      </c>
      <c r="O31" s="196" t="s">
        <v>771</v>
      </c>
      <c r="P31" s="196" t="s">
        <v>771</v>
      </c>
      <c r="Q31" s="171" t="s">
        <v>769</v>
      </c>
      <c r="R31" s="171" t="s">
        <v>742</v>
      </c>
      <c r="S31" s="171" t="s">
        <v>769</v>
      </c>
      <c r="T31" s="171" t="s">
        <v>743</v>
      </c>
      <c r="U31" s="196" t="s">
        <v>771</v>
      </c>
      <c r="V31" s="196" t="s">
        <v>771</v>
      </c>
      <c r="W31" s="196" t="s">
        <v>771</v>
      </c>
      <c r="X31" s="196" t="s">
        <v>771</v>
      </c>
      <c r="Y31" s="196" t="s">
        <v>771</v>
      </c>
      <c r="Z31" s="171" t="s">
        <v>744</v>
      </c>
      <c r="AA31" s="171" t="s">
        <v>745</v>
      </c>
      <c r="AB31" s="196" t="s">
        <v>771</v>
      </c>
      <c r="AC31" s="196" t="s">
        <v>771</v>
      </c>
      <c r="AJ31" s="171" t="s">
        <v>729</v>
      </c>
      <c r="AK31" s="171" t="s">
        <v>807</v>
      </c>
    </row>
    <row r="32" spans="1:37" x14ac:dyDescent="0.25">
      <c r="B32" s="171" t="s">
        <v>337</v>
      </c>
      <c r="C32" s="171" t="s">
        <v>337</v>
      </c>
      <c r="E32" s="238" t="s">
        <v>664</v>
      </c>
      <c r="F32" s="171" t="s">
        <v>1006</v>
      </c>
      <c r="G32" s="238" t="s">
        <v>609</v>
      </c>
      <c r="H32" s="171" t="s">
        <v>315</v>
      </c>
      <c r="I32" s="238" t="s">
        <v>501</v>
      </c>
      <c r="J32" s="171" t="s">
        <v>315</v>
      </c>
      <c r="K32" s="196" t="s">
        <v>771</v>
      </c>
      <c r="L32" s="196" t="s">
        <v>771</v>
      </c>
      <c r="M32" s="196" t="s">
        <v>771</v>
      </c>
      <c r="N32" s="196" t="s">
        <v>771</v>
      </c>
      <c r="O32" s="196" t="s">
        <v>771</v>
      </c>
      <c r="P32" s="196" t="s">
        <v>771</v>
      </c>
      <c r="Q32" s="171" t="s">
        <v>769</v>
      </c>
      <c r="R32" s="171" t="s">
        <v>742</v>
      </c>
      <c r="S32" s="171" t="s">
        <v>769</v>
      </c>
      <c r="T32" s="171" t="s">
        <v>743</v>
      </c>
      <c r="U32" s="196" t="s">
        <v>771</v>
      </c>
      <c r="V32" s="196" t="s">
        <v>771</v>
      </c>
      <c r="W32" s="196" t="s">
        <v>771</v>
      </c>
      <c r="X32" s="196" t="s">
        <v>771</v>
      </c>
      <c r="Y32" s="196" t="s">
        <v>771</v>
      </c>
      <c r="Z32" s="171" t="s">
        <v>744</v>
      </c>
      <c r="AA32" s="171" t="s">
        <v>745</v>
      </c>
      <c r="AB32" s="196" t="s">
        <v>771</v>
      </c>
      <c r="AC32" s="196" t="s">
        <v>771</v>
      </c>
      <c r="AJ32" s="171" t="s">
        <v>759</v>
      </c>
      <c r="AK32" s="171" t="s">
        <v>808</v>
      </c>
    </row>
    <row r="33" spans="2:37" x14ac:dyDescent="0.25">
      <c r="B33" s="171" t="s">
        <v>323</v>
      </c>
      <c r="C33" s="171" t="s">
        <v>286</v>
      </c>
      <c r="E33" s="238" t="s">
        <v>664</v>
      </c>
      <c r="F33" s="171" t="s">
        <v>1006</v>
      </c>
      <c r="G33" s="238" t="s">
        <v>610</v>
      </c>
      <c r="H33" s="171" t="s">
        <v>316</v>
      </c>
      <c r="I33" s="238" t="s">
        <v>502</v>
      </c>
      <c r="J33" s="171" t="s">
        <v>316</v>
      </c>
      <c r="K33" s="196" t="s">
        <v>771</v>
      </c>
      <c r="L33" s="196" t="s">
        <v>771</v>
      </c>
      <c r="M33" s="196" t="s">
        <v>771</v>
      </c>
      <c r="N33" s="196" t="s">
        <v>771</v>
      </c>
      <c r="O33" s="196" t="s">
        <v>771</v>
      </c>
      <c r="P33" s="196" t="s">
        <v>771</v>
      </c>
      <c r="Q33" s="171" t="s">
        <v>769</v>
      </c>
      <c r="R33" s="171" t="s">
        <v>742</v>
      </c>
      <c r="S33" s="171" t="s">
        <v>769</v>
      </c>
      <c r="T33" s="171" t="s">
        <v>743</v>
      </c>
      <c r="U33" s="196" t="s">
        <v>771</v>
      </c>
      <c r="V33" s="196" t="s">
        <v>771</v>
      </c>
      <c r="W33" s="196" t="s">
        <v>771</v>
      </c>
      <c r="X33" s="196" t="s">
        <v>771</v>
      </c>
      <c r="Y33" s="196" t="s">
        <v>771</v>
      </c>
      <c r="Z33" s="171" t="s">
        <v>744</v>
      </c>
      <c r="AA33" s="171" t="s">
        <v>745</v>
      </c>
      <c r="AB33" s="196" t="s">
        <v>771</v>
      </c>
      <c r="AC33" s="196" t="s">
        <v>771</v>
      </c>
      <c r="AJ33" s="171" t="s">
        <v>742</v>
      </c>
      <c r="AK33" s="171" t="s">
        <v>782</v>
      </c>
    </row>
    <row r="34" spans="2:37" x14ac:dyDescent="0.25">
      <c r="B34" s="171" t="s">
        <v>145</v>
      </c>
      <c r="C34" s="171" t="s">
        <v>323</v>
      </c>
      <c r="E34" s="238" t="s">
        <v>665</v>
      </c>
      <c r="F34" s="171" t="s">
        <v>643</v>
      </c>
      <c r="G34" s="238" t="s">
        <v>611</v>
      </c>
      <c r="H34" s="171" t="s">
        <v>317</v>
      </c>
      <c r="I34" s="238" t="s">
        <v>503</v>
      </c>
      <c r="J34" s="171" t="s">
        <v>317</v>
      </c>
      <c r="K34" s="196" t="s">
        <v>771</v>
      </c>
      <c r="L34" s="196" t="s">
        <v>771</v>
      </c>
      <c r="M34" s="196" t="s">
        <v>771</v>
      </c>
      <c r="N34" s="196" t="s">
        <v>771</v>
      </c>
      <c r="O34" s="196" t="s">
        <v>771</v>
      </c>
      <c r="P34" s="196" t="s">
        <v>771</v>
      </c>
      <c r="Q34" s="171" t="s">
        <v>769</v>
      </c>
      <c r="R34" s="171" t="s">
        <v>746</v>
      </c>
      <c r="S34" s="196" t="s">
        <v>771</v>
      </c>
      <c r="T34" s="196" t="s">
        <v>771</v>
      </c>
      <c r="U34" s="196" t="s">
        <v>771</v>
      </c>
      <c r="V34" s="196" t="s">
        <v>771</v>
      </c>
      <c r="W34" s="196" t="s">
        <v>771</v>
      </c>
      <c r="X34" s="196" t="s">
        <v>771</v>
      </c>
      <c r="Y34" s="171" t="s">
        <v>747</v>
      </c>
      <c r="Z34" s="196" t="s">
        <v>771</v>
      </c>
      <c r="AA34" s="196" t="s">
        <v>771</v>
      </c>
      <c r="AB34" s="196" t="s">
        <v>771</v>
      </c>
      <c r="AC34" s="171" t="s">
        <v>750</v>
      </c>
      <c r="AJ34" s="171" t="s">
        <v>728</v>
      </c>
      <c r="AK34" s="171" t="s">
        <v>809</v>
      </c>
    </row>
    <row r="35" spans="2:37" x14ac:dyDescent="0.25">
      <c r="B35" s="171" t="s">
        <v>154</v>
      </c>
      <c r="C35" s="171" t="s">
        <v>191</v>
      </c>
      <c r="E35" s="238" t="s">
        <v>665</v>
      </c>
      <c r="F35" s="171" t="s">
        <v>643</v>
      </c>
      <c r="G35" s="238" t="s">
        <v>612</v>
      </c>
      <c r="H35" s="171" t="s">
        <v>318</v>
      </c>
      <c r="I35" s="238" t="s">
        <v>504</v>
      </c>
      <c r="J35" s="171" t="s">
        <v>318</v>
      </c>
      <c r="K35" s="196" t="s">
        <v>771</v>
      </c>
      <c r="L35" s="196" t="s">
        <v>771</v>
      </c>
      <c r="M35" s="196" t="s">
        <v>771</v>
      </c>
      <c r="N35" s="196" t="s">
        <v>771</v>
      </c>
      <c r="O35" s="196" t="s">
        <v>771</v>
      </c>
      <c r="P35" s="196" t="s">
        <v>771</v>
      </c>
      <c r="Q35" s="171" t="s">
        <v>769</v>
      </c>
      <c r="R35" s="171" t="s">
        <v>746</v>
      </c>
      <c r="S35" s="196" t="s">
        <v>771</v>
      </c>
      <c r="T35" s="196" t="s">
        <v>771</v>
      </c>
      <c r="U35" s="196" t="s">
        <v>771</v>
      </c>
      <c r="V35" s="196" t="s">
        <v>771</v>
      </c>
      <c r="W35" s="196" t="s">
        <v>771</v>
      </c>
      <c r="X35" s="196" t="s">
        <v>771</v>
      </c>
      <c r="Y35" s="171" t="s">
        <v>748</v>
      </c>
      <c r="Z35" s="196" t="s">
        <v>771</v>
      </c>
      <c r="AA35" s="196" t="s">
        <v>771</v>
      </c>
      <c r="AB35" s="196" t="s">
        <v>771</v>
      </c>
      <c r="AC35" s="171" t="s">
        <v>750</v>
      </c>
      <c r="AJ35" s="171" t="s">
        <v>755</v>
      </c>
      <c r="AK35" s="171" t="s">
        <v>810</v>
      </c>
    </row>
    <row r="36" spans="2:37" x14ac:dyDescent="0.25">
      <c r="B36" s="171" t="s">
        <v>158</v>
      </c>
      <c r="C36" s="171" t="s">
        <v>179</v>
      </c>
      <c r="E36" s="238" t="s">
        <v>665</v>
      </c>
      <c r="F36" s="171" t="s">
        <v>643</v>
      </c>
      <c r="G36" s="238" t="s">
        <v>613</v>
      </c>
      <c r="H36" s="171" t="s">
        <v>319</v>
      </c>
      <c r="I36" s="238" t="s">
        <v>505</v>
      </c>
      <c r="J36" s="171" t="s">
        <v>319</v>
      </c>
      <c r="K36" s="196" t="s">
        <v>771</v>
      </c>
      <c r="L36" s="196" t="s">
        <v>771</v>
      </c>
      <c r="M36" s="196" t="s">
        <v>771</v>
      </c>
      <c r="N36" s="196" t="s">
        <v>771</v>
      </c>
      <c r="O36" s="196" t="s">
        <v>771</v>
      </c>
      <c r="P36" s="196" t="s">
        <v>771</v>
      </c>
      <c r="Q36" s="171" t="s">
        <v>769</v>
      </c>
      <c r="R36" s="171" t="s">
        <v>746</v>
      </c>
      <c r="S36" s="196" t="s">
        <v>771</v>
      </c>
      <c r="T36" s="196" t="s">
        <v>771</v>
      </c>
      <c r="U36" s="196" t="s">
        <v>771</v>
      </c>
      <c r="V36" s="196" t="s">
        <v>771</v>
      </c>
      <c r="W36" s="196" t="s">
        <v>771</v>
      </c>
      <c r="X36" s="196" t="s">
        <v>771</v>
      </c>
      <c r="Y36" s="196" t="s">
        <v>771</v>
      </c>
      <c r="Z36" s="196" t="s">
        <v>771</v>
      </c>
      <c r="AA36" s="196" t="s">
        <v>771</v>
      </c>
      <c r="AB36" s="196" t="s">
        <v>771</v>
      </c>
      <c r="AC36" s="171" t="s">
        <v>750</v>
      </c>
      <c r="AJ36" s="171" t="s">
        <v>744</v>
      </c>
      <c r="AK36" s="171" t="s">
        <v>811</v>
      </c>
    </row>
    <row r="37" spans="2:37" x14ac:dyDescent="0.25">
      <c r="B37" s="171" t="s">
        <v>331</v>
      </c>
      <c r="C37" s="171" t="s">
        <v>154</v>
      </c>
      <c r="E37" s="238" t="s">
        <v>661</v>
      </c>
      <c r="F37" s="171" t="s">
        <v>641</v>
      </c>
      <c r="G37" s="238" t="s">
        <v>596</v>
      </c>
      <c r="H37" s="171" t="s">
        <v>300</v>
      </c>
      <c r="I37" s="238" t="s">
        <v>485</v>
      </c>
      <c r="J37" s="171" t="s">
        <v>300</v>
      </c>
      <c r="K37" s="196" t="s">
        <v>771</v>
      </c>
      <c r="L37" s="196" t="s">
        <v>771</v>
      </c>
      <c r="M37" s="196" t="s">
        <v>771</v>
      </c>
      <c r="N37" s="196" t="s">
        <v>771</v>
      </c>
      <c r="O37" s="196" t="s">
        <v>771</v>
      </c>
      <c r="P37" s="196" t="s">
        <v>771</v>
      </c>
      <c r="Q37" s="171" t="s">
        <v>769</v>
      </c>
      <c r="R37" s="171" t="s">
        <v>728</v>
      </c>
      <c r="S37" s="196" t="s">
        <v>771</v>
      </c>
      <c r="T37" s="196" t="s">
        <v>771</v>
      </c>
      <c r="U37" s="196" t="s">
        <v>771</v>
      </c>
      <c r="V37" s="196" t="s">
        <v>771</v>
      </c>
      <c r="W37" s="196" t="s">
        <v>771</v>
      </c>
      <c r="X37" s="171" t="s">
        <v>732</v>
      </c>
      <c r="Y37" s="196" t="s">
        <v>771</v>
      </c>
      <c r="Z37" s="196" t="s">
        <v>771</v>
      </c>
      <c r="AA37" s="196" t="s">
        <v>771</v>
      </c>
      <c r="AB37" s="196" t="s">
        <v>771</v>
      </c>
      <c r="AC37" s="196" t="s">
        <v>771</v>
      </c>
      <c r="AJ37" s="171" t="s">
        <v>710</v>
      </c>
      <c r="AK37" s="171" t="s">
        <v>812</v>
      </c>
    </row>
    <row r="38" spans="2:37" x14ac:dyDescent="0.25">
      <c r="B38" s="171" t="s">
        <v>301</v>
      </c>
      <c r="C38" s="171" t="s">
        <v>206</v>
      </c>
      <c r="E38" s="238" t="s">
        <v>661</v>
      </c>
      <c r="F38" s="171" t="s">
        <v>641</v>
      </c>
      <c r="G38" s="238" t="s">
        <v>597</v>
      </c>
      <c r="H38" s="171" t="s">
        <v>301</v>
      </c>
      <c r="I38" s="238" t="s">
        <v>486</v>
      </c>
      <c r="J38" s="171" t="s">
        <v>301</v>
      </c>
      <c r="K38" s="196" t="s">
        <v>771</v>
      </c>
      <c r="L38" s="196" t="s">
        <v>771</v>
      </c>
      <c r="M38" s="196" t="s">
        <v>771</v>
      </c>
      <c r="N38" s="196" t="s">
        <v>771</v>
      </c>
      <c r="O38" s="196" t="s">
        <v>771</v>
      </c>
      <c r="P38" s="196" t="s">
        <v>771</v>
      </c>
      <c r="Q38" s="171" t="s">
        <v>769</v>
      </c>
      <c r="R38" s="171" t="s">
        <v>729</v>
      </c>
      <c r="S38" s="196" t="s">
        <v>771</v>
      </c>
      <c r="T38" s="196" t="s">
        <v>771</v>
      </c>
      <c r="U38" s="196" t="s">
        <v>771</v>
      </c>
      <c r="V38" s="196" t="s">
        <v>771</v>
      </c>
      <c r="W38" s="196" t="s">
        <v>771</v>
      </c>
      <c r="X38" s="171" t="s">
        <v>732</v>
      </c>
      <c r="Y38" s="196" t="s">
        <v>771</v>
      </c>
      <c r="Z38" s="196" t="s">
        <v>771</v>
      </c>
      <c r="AA38" s="196" t="s">
        <v>771</v>
      </c>
      <c r="AB38" s="196" t="s">
        <v>771</v>
      </c>
      <c r="AC38" s="196" t="s">
        <v>771</v>
      </c>
      <c r="AJ38" s="171" t="s">
        <v>700</v>
      </c>
      <c r="AK38" s="171" t="s">
        <v>813</v>
      </c>
    </row>
    <row r="39" spans="2:37" x14ac:dyDescent="0.25">
      <c r="B39" s="171" t="s">
        <v>153</v>
      </c>
      <c r="C39" s="171" t="s">
        <v>158</v>
      </c>
      <c r="E39" s="238" t="s">
        <v>661</v>
      </c>
      <c r="F39" s="171" t="s">
        <v>641</v>
      </c>
      <c r="G39" s="238" t="s">
        <v>598</v>
      </c>
      <c r="H39" s="171" t="s">
        <v>302</v>
      </c>
      <c r="I39" s="238" t="s">
        <v>487</v>
      </c>
      <c r="J39" s="171" t="s">
        <v>302</v>
      </c>
      <c r="K39" s="196" t="s">
        <v>771</v>
      </c>
      <c r="L39" s="196" t="s">
        <v>771</v>
      </c>
      <c r="M39" s="196" t="s">
        <v>771</v>
      </c>
      <c r="N39" s="196" t="s">
        <v>771</v>
      </c>
      <c r="O39" s="196" t="s">
        <v>771</v>
      </c>
      <c r="P39" s="196" t="s">
        <v>771</v>
      </c>
      <c r="Q39" s="171" t="s">
        <v>769</v>
      </c>
      <c r="R39" s="171" t="s">
        <v>730</v>
      </c>
      <c r="S39" s="196" t="s">
        <v>771</v>
      </c>
      <c r="T39" s="196" t="s">
        <v>771</v>
      </c>
      <c r="U39" s="196" t="s">
        <v>771</v>
      </c>
      <c r="V39" s="196" t="s">
        <v>771</v>
      </c>
      <c r="W39" s="196" t="s">
        <v>771</v>
      </c>
      <c r="X39" s="171" t="s">
        <v>732</v>
      </c>
      <c r="Y39" s="196" t="s">
        <v>771</v>
      </c>
      <c r="Z39" s="196" t="s">
        <v>771</v>
      </c>
      <c r="AA39" s="196" t="s">
        <v>771</v>
      </c>
      <c r="AB39" s="196" t="s">
        <v>771</v>
      </c>
      <c r="AC39" s="196" t="s">
        <v>771</v>
      </c>
      <c r="AJ39" s="171" t="s">
        <v>750</v>
      </c>
      <c r="AK39" s="171" t="s">
        <v>814</v>
      </c>
    </row>
    <row r="40" spans="2:37" x14ac:dyDescent="0.25">
      <c r="B40" s="171" t="s">
        <v>124</v>
      </c>
      <c r="C40" s="171" t="s">
        <v>331</v>
      </c>
      <c r="E40" s="238" t="s">
        <v>663</v>
      </c>
      <c r="F40" s="171" t="s">
        <v>642</v>
      </c>
      <c r="G40" s="238" t="s">
        <v>602</v>
      </c>
      <c r="H40" s="171" t="s">
        <v>982</v>
      </c>
      <c r="I40" s="238" t="s">
        <v>491</v>
      </c>
      <c r="J40" s="171" t="s">
        <v>982</v>
      </c>
      <c r="K40" s="196" t="s">
        <v>771</v>
      </c>
      <c r="L40" s="196" t="s">
        <v>771</v>
      </c>
      <c r="M40" s="196" t="s">
        <v>771</v>
      </c>
      <c r="N40" s="196" t="s">
        <v>771</v>
      </c>
      <c r="O40" s="196" t="s">
        <v>771</v>
      </c>
      <c r="P40" s="196" t="s">
        <v>771</v>
      </c>
      <c r="Q40" s="171" t="s">
        <v>769</v>
      </c>
      <c r="R40" s="171" t="s">
        <v>990</v>
      </c>
      <c r="S40" s="196" t="s">
        <v>771</v>
      </c>
      <c r="T40" s="196" t="s">
        <v>771</v>
      </c>
      <c r="U40" s="196" t="s">
        <v>771</v>
      </c>
      <c r="V40" s="196" t="s">
        <v>771</v>
      </c>
      <c r="W40" s="196" t="s">
        <v>771</v>
      </c>
      <c r="X40" s="196" t="s">
        <v>771</v>
      </c>
      <c r="Y40" s="196" t="s">
        <v>771</v>
      </c>
      <c r="Z40" s="196" t="s">
        <v>751</v>
      </c>
      <c r="AA40" s="171" t="s">
        <v>691</v>
      </c>
      <c r="AB40" s="196" t="s">
        <v>771</v>
      </c>
      <c r="AC40" s="196" t="s">
        <v>771</v>
      </c>
      <c r="AJ40" s="171" t="s">
        <v>741</v>
      </c>
      <c r="AK40" s="171" t="s">
        <v>815</v>
      </c>
    </row>
    <row r="41" spans="2:37" x14ac:dyDescent="0.25">
      <c r="B41" s="171" t="s">
        <v>302</v>
      </c>
      <c r="C41" s="171" t="s">
        <v>287</v>
      </c>
      <c r="E41" s="238" t="s">
        <v>663</v>
      </c>
      <c r="F41" s="171" t="s">
        <v>642</v>
      </c>
      <c r="G41" s="238" t="s">
        <v>603</v>
      </c>
      <c r="H41" s="171" t="s">
        <v>306</v>
      </c>
      <c r="I41" s="238" t="s">
        <v>492</v>
      </c>
      <c r="J41" s="171" t="s">
        <v>983</v>
      </c>
      <c r="K41" s="196" t="s">
        <v>771</v>
      </c>
      <c r="L41" s="196" t="s">
        <v>771</v>
      </c>
      <c r="M41" s="196" t="s">
        <v>771</v>
      </c>
      <c r="N41" s="196" t="s">
        <v>771</v>
      </c>
      <c r="O41" s="196" t="s">
        <v>771</v>
      </c>
      <c r="P41" s="196" t="s">
        <v>771</v>
      </c>
      <c r="Q41" s="171" t="s">
        <v>769</v>
      </c>
      <c r="R41" s="171" t="s">
        <v>740</v>
      </c>
      <c r="S41" s="196" t="s">
        <v>771</v>
      </c>
      <c r="T41" s="196" t="s">
        <v>771</v>
      </c>
      <c r="U41" s="196" t="s">
        <v>771</v>
      </c>
      <c r="V41" s="196" t="s">
        <v>771</v>
      </c>
      <c r="W41" s="196" t="s">
        <v>771</v>
      </c>
      <c r="X41" s="196" t="s">
        <v>771</v>
      </c>
      <c r="Y41" s="196" t="s">
        <v>771</v>
      </c>
      <c r="Z41" s="196" t="s">
        <v>771</v>
      </c>
      <c r="AA41" s="171" t="s">
        <v>691</v>
      </c>
      <c r="AB41" s="196" t="s">
        <v>771</v>
      </c>
      <c r="AC41" s="196" t="s">
        <v>771</v>
      </c>
      <c r="AJ41" s="171" t="s">
        <v>692</v>
      </c>
      <c r="AK41" s="171" t="s">
        <v>816</v>
      </c>
    </row>
    <row r="42" spans="2:37" x14ac:dyDescent="0.25">
      <c r="B42" s="171" t="s">
        <v>307</v>
      </c>
      <c r="C42" s="171" t="s">
        <v>137</v>
      </c>
      <c r="E42" s="238" t="s">
        <v>663</v>
      </c>
      <c r="F42" s="171" t="s">
        <v>642</v>
      </c>
      <c r="G42" s="238" t="s">
        <v>603</v>
      </c>
      <c r="H42" s="171" t="s">
        <v>306</v>
      </c>
      <c r="I42" s="238" t="s">
        <v>984</v>
      </c>
      <c r="J42" s="171" t="s">
        <v>987</v>
      </c>
      <c r="K42" s="196" t="s">
        <v>771</v>
      </c>
      <c r="L42" s="196" t="s">
        <v>771</v>
      </c>
      <c r="M42" s="196" t="s">
        <v>771</v>
      </c>
      <c r="N42" s="196" t="s">
        <v>771</v>
      </c>
      <c r="O42" s="196" t="s">
        <v>771</v>
      </c>
      <c r="P42" s="196" t="s">
        <v>771</v>
      </c>
      <c r="Q42" s="171" t="s">
        <v>769</v>
      </c>
      <c r="R42" s="171" t="s">
        <v>991</v>
      </c>
      <c r="S42" s="196" t="s">
        <v>771</v>
      </c>
      <c r="T42" s="196" t="s">
        <v>771</v>
      </c>
      <c r="U42" s="196" t="s">
        <v>771</v>
      </c>
      <c r="V42" s="196" t="s">
        <v>771</v>
      </c>
      <c r="W42" s="196" t="s">
        <v>771</v>
      </c>
      <c r="X42" s="196" t="s">
        <v>771</v>
      </c>
      <c r="Y42" s="196" t="s">
        <v>771</v>
      </c>
      <c r="Z42" s="196" t="s">
        <v>740</v>
      </c>
      <c r="AA42" s="171" t="s">
        <v>691</v>
      </c>
      <c r="AB42" s="196" t="s">
        <v>771</v>
      </c>
      <c r="AC42" s="196" t="s">
        <v>771</v>
      </c>
      <c r="AJ42" s="171" t="s">
        <v>762</v>
      </c>
      <c r="AK42" s="171" t="s">
        <v>817</v>
      </c>
    </row>
    <row r="43" spans="2:37" x14ac:dyDescent="0.25">
      <c r="B43" s="171" t="s">
        <v>310</v>
      </c>
      <c r="C43" s="171" t="s">
        <v>301</v>
      </c>
      <c r="E43" s="238" t="s">
        <v>663</v>
      </c>
      <c r="F43" s="171" t="s">
        <v>642</v>
      </c>
      <c r="G43" s="238" t="s">
        <v>603</v>
      </c>
      <c r="H43" s="171" t="s">
        <v>306</v>
      </c>
      <c r="I43" s="238" t="s">
        <v>985</v>
      </c>
      <c r="J43" s="171" t="s">
        <v>988</v>
      </c>
      <c r="K43" s="196" t="s">
        <v>771</v>
      </c>
      <c r="L43" s="196" t="s">
        <v>771</v>
      </c>
      <c r="M43" s="196" t="s">
        <v>771</v>
      </c>
      <c r="N43" s="196" t="s">
        <v>771</v>
      </c>
      <c r="O43" s="196" t="s">
        <v>771</v>
      </c>
      <c r="P43" s="196" t="s">
        <v>771</v>
      </c>
      <c r="Q43" s="171" t="s">
        <v>769</v>
      </c>
      <c r="R43" s="171" t="s">
        <v>992</v>
      </c>
      <c r="S43" s="196" t="s">
        <v>771</v>
      </c>
      <c r="T43" s="196" t="s">
        <v>771</v>
      </c>
      <c r="U43" s="196" t="s">
        <v>771</v>
      </c>
      <c r="V43" s="196" t="s">
        <v>771</v>
      </c>
      <c r="W43" s="196" t="s">
        <v>771</v>
      </c>
      <c r="X43" s="196" t="s">
        <v>771</v>
      </c>
      <c r="Y43" s="196" t="s">
        <v>771</v>
      </c>
      <c r="Z43" s="196" t="s">
        <v>740</v>
      </c>
      <c r="AA43" s="171" t="s">
        <v>691</v>
      </c>
      <c r="AB43" s="196" t="s">
        <v>771</v>
      </c>
      <c r="AC43" s="196" t="s">
        <v>771</v>
      </c>
      <c r="AJ43" s="171" t="s">
        <v>723</v>
      </c>
      <c r="AK43" s="171" t="s">
        <v>818</v>
      </c>
    </row>
    <row r="44" spans="2:37" x14ac:dyDescent="0.25">
      <c r="B44" s="171" t="s">
        <v>161</v>
      </c>
      <c r="C44" s="171" t="s">
        <v>153</v>
      </c>
      <c r="E44" s="238" t="s">
        <v>663</v>
      </c>
      <c r="F44" s="171" t="s">
        <v>642</v>
      </c>
      <c r="G44" s="238" t="s">
        <v>603</v>
      </c>
      <c r="H44" s="171" t="s">
        <v>306</v>
      </c>
      <c r="I44" s="238" t="s">
        <v>986</v>
      </c>
      <c r="J44" s="171" t="s">
        <v>989</v>
      </c>
      <c r="K44" s="196" t="s">
        <v>771</v>
      </c>
      <c r="L44" s="196" t="s">
        <v>771</v>
      </c>
      <c r="M44" s="196" t="s">
        <v>771</v>
      </c>
      <c r="N44" s="196" t="s">
        <v>771</v>
      </c>
      <c r="O44" s="196" t="s">
        <v>771</v>
      </c>
      <c r="P44" s="196" t="s">
        <v>771</v>
      </c>
      <c r="Q44" s="171" t="s">
        <v>769</v>
      </c>
      <c r="R44" s="171" t="s">
        <v>993</v>
      </c>
      <c r="S44" s="196" t="s">
        <v>771</v>
      </c>
      <c r="T44" s="196" t="s">
        <v>771</v>
      </c>
      <c r="U44" s="196" t="s">
        <v>771</v>
      </c>
      <c r="V44" s="196" t="s">
        <v>771</v>
      </c>
      <c r="W44" s="196" t="s">
        <v>771</v>
      </c>
      <c r="X44" s="196" t="s">
        <v>771</v>
      </c>
      <c r="Y44" s="196" t="s">
        <v>771</v>
      </c>
      <c r="Z44" s="196" t="s">
        <v>740</v>
      </c>
      <c r="AA44" s="171" t="s">
        <v>691</v>
      </c>
      <c r="AB44" s="196" t="s">
        <v>771</v>
      </c>
      <c r="AC44" s="196" t="s">
        <v>771</v>
      </c>
      <c r="AJ44" s="171" t="s">
        <v>697</v>
      </c>
      <c r="AK44" s="171" t="s">
        <v>819</v>
      </c>
    </row>
    <row r="45" spans="2:37" x14ac:dyDescent="0.25">
      <c r="B45" s="171" t="s">
        <v>317</v>
      </c>
      <c r="C45" s="171" t="s">
        <v>124</v>
      </c>
      <c r="E45" s="238" t="s">
        <v>663</v>
      </c>
      <c r="F45" s="171" t="s">
        <v>642</v>
      </c>
      <c r="G45" s="238" t="s">
        <v>604</v>
      </c>
      <c r="H45" s="171" t="s">
        <v>307</v>
      </c>
      <c r="I45" s="238" t="s">
        <v>493</v>
      </c>
      <c r="J45" s="171" t="s">
        <v>307</v>
      </c>
      <c r="K45" s="196" t="s">
        <v>771</v>
      </c>
      <c r="L45" s="196" t="s">
        <v>771</v>
      </c>
      <c r="M45" s="196" t="s">
        <v>771</v>
      </c>
      <c r="N45" s="196" t="s">
        <v>771</v>
      </c>
      <c r="O45" s="196" t="s">
        <v>771</v>
      </c>
      <c r="P45" s="196" t="s">
        <v>771</v>
      </c>
      <c r="Q45" s="171" t="s">
        <v>769</v>
      </c>
      <c r="R45" s="171" t="s">
        <v>738</v>
      </c>
      <c r="S45" s="196" t="s">
        <v>771</v>
      </c>
      <c r="T45" s="196" t="s">
        <v>771</v>
      </c>
      <c r="U45" s="196" t="s">
        <v>771</v>
      </c>
      <c r="V45" s="196" t="s">
        <v>771</v>
      </c>
      <c r="W45" s="196" t="s">
        <v>771</v>
      </c>
      <c r="X45" s="196" t="s">
        <v>771</v>
      </c>
      <c r="Y45" s="196" t="s">
        <v>771</v>
      </c>
      <c r="Z45" s="171" t="s">
        <v>741</v>
      </c>
      <c r="AA45" s="171" t="s">
        <v>691</v>
      </c>
      <c r="AB45" s="196" t="s">
        <v>771</v>
      </c>
      <c r="AC45" s="196" t="s">
        <v>771</v>
      </c>
      <c r="AJ45" s="171" t="s">
        <v>1002</v>
      </c>
      <c r="AK45" s="171" t="s">
        <v>820</v>
      </c>
    </row>
    <row r="46" spans="2:37" x14ac:dyDescent="0.25">
      <c r="B46" s="171" t="s">
        <v>234</v>
      </c>
      <c r="C46" s="171" t="s">
        <v>302</v>
      </c>
      <c r="E46" s="238" t="s">
        <v>663</v>
      </c>
      <c r="F46" s="171" t="s">
        <v>642</v>
      </c>
      <c r="G46" s="238" t="s">
        <v>605</v>
      </c>
      <c r="H46" s="171" t="s">
        <v>308</v>
      </c>
      <c r="I46" s="238" t="s">
        <v>494</v>
      </c>
      <c r="J46" s="171" t="s">
        <v>308</v>
      </c>
      <c r="K46" s="196" t="s">
        <v>771</v>
      </c>
      <c r="L46" s="196" t="s">
        <v>771</v>
      </c>
      <c r="M46" s="196" t="s">
        <v>771</v>
      </c>
      <c r="N46" s="196" t="s">
        <v>771</v>
      </c>
      <c r="O46" s="196" t="s">
        <v>771</v>
      </c>
      <c r="P46" s="196" t="s">
        <v>771</v>
      </c>
      <c r="Q46" s="171" t="s">
        <v>769</v>
      </c>
      <c r="R46" s="171" t="s">
        <v>741</v>
      </c>
      <c r="S46" s="196" t="s">
        <v>771</v>
      </c>
      <c r="T46" s="196" t="s">
        <v>771</v>
      </c>
      <c r="U46" s="196" t="s">
        <v>771</v>
      </c>
      <c r="V46" s="196" t="s">
        <v>771</v>
      </c>
      <c r="W46" s="196" t="s">
        <v>771</v>
      </c>
      <c r="X46" s="196" t="s">
        <v>771</v>
      </c>
      <c r="Y46" s="196" t="s">
        <v>771</v>
      </c>
      <c r="Z46" s="196" t="s">
        <v>771</v>
      </c>
      <c r="AA46" s="171" t="s">
        <v>691</v>
      </c>
      <c r="AB46" s="196" t="s">
        <v>771</v>
      </c>
      <c r="AC46" s="196" t="s">
        <v>771</v>
      </c>
      <c r="AJ46" s="171" t="s">
        <v>766</v>
      </c>
      <c r="AK46" s="171" t="s">
        <v>821</v>
      </c>
    </row>
    <row r="47" spans="2:37" x14ac:dyDescent="0.25">
      <c r="B47" s="171" t="s">
        <v>290</v>
      </c>
      <c r="C47" s="171" t="s">
        <v>307</v>
      </c>
      <c r="E47" s="238" t="s">
        <v>663</v>
      </c>
      <c r="F47" s="171" t="s">
        <v>642</v>
      </c>
      <c r="G47" s="238" t="s">
        <v>606</v>
      </c>
      <c r="H47" s="171" t="s">
        <v>309</v>
      </c>
      <c r="I47" s="238" t="s">
        <v>495</v>
      </c>
      <c r="J47" s="171" t="s">
        <v>309</v>
      </c>
      <c r="K47" s="196" t="s">
        <v>771</v>
      </c>
      <c r="L47" s="196" t="s">
        <v>771</v>
      </c>
      <c r="M47" s="196" t="s">
        <v>771</v>
      </c>
      <c r="N47" s="196" t="s">
        <v>771</v>
      </c>
      <c r="O47" s="196" t="s">
        <v>771</v>
      </c>
      <c r="P47" s="196" t="s">
        <v>771</v>
      </c>
      <c r="Q47" s="171" t="s">
        <v>769</v>
      </c>
      <c r="R47" s="171" t="s">
        <v>920</v>
      </c>
      <c r="S47" s="196" t="s">
        <v>771</v>
      </c>
      <c r="T47" s="196" t="s">
        <v>771</v>
      </c>
      <c r="U47" s="196" t="s">
        <v>771</v>
      </c>
      <c r="V47" s="196" t="s">
        <v>771</v>
      </c>
      <c r="W47" s="196" t="s">
        <v>771</v>
      </c>
      <c r="X47" s="196" t="s">
        <v>771</v>
      </c>
      <c r="Y47" s="196" t="s">
        <v>771</v>
      </c>
      <c r="Z47" s="171" t="s">
        <v>741</v>
      </c>
      <c r="AA47" s="171" t="s">
        <v>691</v>
      </c>
      <c r="AB47" s="196" t="s">
        <v>771</v>
      </c>
      <c r="AC47" s="196" t="s">
        <v>771</v>
      </c>
      <c r="AJ47" s="171" t="s">
        <v>737</v>
      </c>
      <c r="AK47" s="171" t="s">
        <v>822</v>
      </c>
    </row>
    <row r="48" spans="2:37" x14ac:dyDescent="0.25">
      <c r="B48" s="171" t="s">
        <v>199</v>
      </c>
      <c r="C48" s="171" t="s">
        <v>310</v>
      </c>
      <c r="E48" s="238" t="s">
        <v>663</v>
      </c>
      <c r="F48" s="171" t="s">
        <v>642</v>
      </c>
      <c r="G48" s="238" t="s">
        <v>607</v>
      </c>
      <c r="H48" s="171" t="s">
        <v>310</v>
      </c>
      <c r="I48" s="238" t="s">
        <v>496</v>
      </c>
      <c r="J48" s="171" t="s">
        <v>310</v>
      </c>
      <c r="K48" s="196" t="s">
        <v>771</v>
      </c>
      <c r="L48" s="196" t="s">
        <v>771</v>
      </c>
      <c r="M48" s="196" t="s">
        <v>771</v>
      </c>
      <c r="N48" s="196" t="s">
        <v>771</v>
      </c>
      <c r="O48" s="196" t="s">
        <v>771</v>
      </c>
      <c r="P48" s="196" t="s">
        <v>771</v>
      </c>
      <c r="Q48" s="171" t="s">
        <v>769</v>
      </c>
      <c r="R48" s="171" t="s">
        <v>739</v>
      </c>
      <c r="S48" s="196" t="s">
        <v>771</v>
      </c>
      <c r="T48" s="196" t="s">
        <v>771</v>
      </c>
      <c r="U48" s="196" t="s">
        <v>771</v>
      </c>
      <c r="V48" s="196" t="s">
        <v>771</v>
      </c>
      <c r="W48" s="196" t="s">
        <v>771</v>
      </c>
      <c r="X48" s="196" t="s">
        <v>771</v>
      </c>
      <c r="Y48" s="196" t="s">
        <v>771</v>
      </c>
      <c r="Z48" s="171" t="s">
        <v>691</v>
      </c>
      <c r="AA48" s="196" t="s">
        <v>771</v>
      </c>
      <c r="AB48" s="196" t="s">
        <v>771</v>
      </c>
      <c r="AC48" s="196" t="s">
        <v>771</v>
      </c>
      <c r="AJ48" s="171" t="s">
        <v>735</v>
      </c>
      <c r="AK48" s="171" t="s">
        <v>823</v>
      </c>
    </row>
    <row r="49" spans="2:37" x14ac:dyDescent="0.25">
      <c r="B49" s="171" t="s">
        <v>282</v>
      </c>
      <c r="C49" s="171" t="s">
        <v>279</v>
      </c>
      <c r="E49" s="238" t="s">
        <v>666</v>
      </c>
      <c r="F49" s="171" t="s">
        <v>998</v>
      </c>
      <c r="G49" s="238" t="s">
        <v>614</v>
      </c>
      <c r="H49" s="171" t="s">
        <v>998</v>
      </c>
      <c r="I49" s="238" t="s">
        <v>506</v>
      </c>
      <c r="J49" s="171" t="s">
        <v>998</v>
      </c>
      <c r="K49" s="196" t="s">
        <v>771</v>
      </c>
      <c r="L49" s="196" t="s">
        <v>771</v>
      </c>
      <c r="M49" s="196" t="s">
        <v>771</v>
      </c>
      <c r="N49" s="196" t="s">
        <v>771</v>
      </c>
      <c r="O49" s="196" t="s">
        <v>771</v>
      </c>
      <c r="P49" s="196" t="s">
        <v>771</v>
      </c>
      <c r="Q49" s="171" t="s">
        <v>769</v>
      </c>
      <c r="R49" s="171" t="s">
        <v>751</v>
      </c>
      <c r="S49" s="196" t="s">
        <v>771</v>
      </c>
      <c r="T49" s="196" t="s">
        <v>771</v>
      </c>
      <c r="U49" s="196" t="s">
        <v>771</v>
      </c>
      <c r="V49" s="196" t="s">
        <v>771</v>
      </c>
      <c r="W49" s="196" t="s">
        <v>771</v>
      </c>
      <c r="X49" s="196" t="s">
        <v>771</v>
      </c>
      <c r="Y49" s="196" t="s">
        <v>771</v>
      </c>
      <c r="Z49" s="196" t="s">
        <v>771</v>
      </c>
      <c r="AA49" s="171" t="s">
        <v>752</v>
      </c>
      <c r="AB49" s="171" t="s">
        <v>754</v>
      </c>
      <c r="AC49" s="196" t="s">
        <v>771</v>
      </c>
      <c r="AJ49" s="171" t="s">
        <v>701</v>
      </c>
      <c r="AK49" s="171" t="s">
        <v>824</v>
      </c>
    </row>
    <row r="50" spans="2:37" x14ac:dyDescent="0.25">
      <c r="B50" s="171" t="s">
        <v>259</v>
      </c>
      <c r="C50" s="171" t="s">
        <v>161</v>
      </c>
      <c r="E50" s="238" t="s">
        <v>652</v>
      </c>
      <c r="F50" s="171" t="s">
        <v>633</v>
      </c>
      <c r="G50" s="238" t="s">
        <v>542</v>
      </c>
      <c r="H50" s="171" t="s">
        <v>150</v>
      </c>
      <c r="I50" s="238" t="s">
        <v>371</v>
      </c>
      <c r="J50" s="171" t="s">
        <v>150</v>
      </c>
      <c r="K50" s="196" t="s">
        <v>771</v>
      </c>
      <c r="L50" s="196" t="s">
        <v>771</v>
      </c>
      <c r="M50" s="196" t="s">
        <v>771</v>
      </c>
      <c r="N50" s="196" t="s">
        <v>771</v>
      </c>
      <c r="O50" s="196" t="s">
        <v>771</v>
      </c>
      <c r="P50" s="196" t="s">
        <v>771</v>
      </c>
      <c r="Q50" s="171" t="s">
        <v>769</v>
      </c>
      <c r="R50" s="171" t="s">
        <v>691</v>
      </c>
      <c r="S50" s="196" t="s">
        <v>771</v>
      </c>
      <c r="T50" s="196" t="s">
        <v>771</v>
      </c>
      <c r="U50" s="196" t="s">
        <v>771</v>
      </c>
      <c r="V50" s="196" t="s">
        <v>771</v>
      </c>
      <c r="W50" s="196" t="s">
        <v>771</v>
      </c>
      <c r="X50" s="196" t="s">
        <v>771</v>
      </c>
      <c r="Y50" s="196" t="s">
        <v>771</v>
      </c>
      <c r="Z50" s="196" t="s">
        <v>771</v>
      </c>
      <c r="AA50" s="196" t="s">
        <v>771</v>
      </c>
      <c r="AB50" s="196" t="s">
        <v>771</v>
      </c>
      <c r="AC50" s="196" t="s">
        <v>771</v>
      </c>
      <c r="AJ50" s="171" t="s">
        <v>703</v>
      </c>
      <c r="AK50" s="171" t="s">
        <v>825</v>
      </c>
    </row>
    <row r="51" spans="2:37" x14ac:dyDescent="0.25">
      <c r="B51" s="171" t="s">
        <v>242</v>
      </c>
      <c r="C51" s="171" t="s">
        <v>317</v>
      </c>
      <c r="E51" s="238" t="s">
        <v>652</v>
      </c>
      <c r="F51" s="171" t="s">
        <v>633</v>
      </c>
      <c r="G51" s="238" t="s">
        <v>543</v>
      </c>
      <c r="H51" s="171" t="s">
        <v>151</v>
      </c>
      <c r="I51" s="238" t="s">
        <v>372</v>
      </c>
      <c r="J51" s="171" t="s">
        <v>151</v>
      </c>
      <c r="K51" s="196" t="s">
        <v>771</v>
      </c>
      <c r="L51" s="196" t="s">
        <v>771</v>
      </c>
      <c r="M51" s="196" t="s">
        <v>771</v>
      </c>
      <c r="N51" s="196" t="s">
        <v>771</v>
      </c>
      <c r="O51" s="196" t="s">
        <v>771</v>
      </c>
      <c r="P51" s="196" t="s">
        <v>771</v>
      </c>
      <c r="Q51" s="171" t="s">
        <v>769</v>
      </c>
      <c r="R51" s="171" t="s">
        <v>691</v>
      </c>
      <c r="S51" s="196" t="s">
        <v>771</v>
      </c>
      <c r="T51" s="196" t="s">
        <v>771</v>
      </c>
      <c r="U51" s="196" t="s">
        <v>771</v>
      </c>
      <c r="V51" s="196" t="s">
        <v>771</v>
      </c>
      <c r="W51" s="196" t="s">
        <v>771</v>
      </c>
      <c r="X51" s="196" t="s">
        <v>771</v>
      </c>
      <c r="Y51" s="196" t="s">
        <v>771</v>
      </c>
      <c r="Z51" s="196" t="s">
        <v>771</v>
      </c>
      <c r="AA51" s="196" t="s">
        <v>771</v>
      </c>
      <c r="AB51" s="196" t="s">
        <v>771</v>
      </c>
      <c r="AC51" s="196" t="s">
        <v>771</v>
      </c>
      <c r="AJ51" s="171" t="s">
        <v>733</v>
      </c>
      <c r="AK51" s="171" t="s">
        <v>826</v>
      </c>
    </row>
    <row r="52" spans="2:37" x14ac:dyDescent="0.25">
      <c r="B52" s="171" t="s">
        <v>115</v>
      </c>
      <c r="C52" s="171" t="s">
        <v>237</v>
      </c>
      <c r="E52" s="238" t="s">
        <v>652</v>
      </c>
      <c r="F52" s="171" t="s">
        <v>633</v>
      </c>
      <c r="G52" s="238" t="s">
        <v>544</v>
      </c>
      <c r="H52" s="171" t="s">
        <v>152</v>
      </c>
      <c r="I52" s="238" t="s">
        <v>373</v>
      </c>
      <c r="J52" s="171" t="s">
        <v>152</v>
      </c>
      <c r="K52" s="196" t="s">
        <v>771</v>
      </c>
      <c r="L52" s="196" t="s">
        <v>771</v>
      </c>
      <c r="M52" s="196" t="s">
        <v>771</v>
      </c>
      <c r="N52" s="196" t="s">
        <v>771</v>
      </c>
      <c r="O52" s="196" t="s">
        <v>771</v>
      </c>
      <c r="P52" s="196" t="s">
        <v>771</v>
      </c>
      <c r="Q52" s="171" t="s">
        <v>769</v>
      </c>
      <c r="R52" s="171" t="s">
        <v>691</v>
      </c>
      <c r="S52" s="196" t="s">
        <v>771</v>
      </c>
      <c r="T52" s="196" t="s">
        <v>771</v>
      </c>
      <c r="U52" s="196" t="s">
        <v>771</v>
      </c>
      <c r="V52" s="196" t="s">
        <v>771</v>
      </c>
      <c r="W52" s="196" t="s">
        <v>771</v>
      </c>
      <c r="X52" s="196" t="s">
        <v>771</v>
      </c>
      <c r="Y52" s="196" t="s">
        <v>771</v>
      </c>
      <c r="Z52" s="196" t="s">
        <v>771</v>
      </c>
      <c r="AA52" s="196" t="s">
        <v>771</v>
      </c>
      <c r="AB52" s="196" t="s">
        <v>771</v>
      </c>
      <c r="AC52" s="196" t="s">
        <v>771</v>
      </c>
      <c r="AJ52" s="171" t="s">
        <v>707</v>
      </c>
      <c r="AK52" s="171" t="s">
        <v>827</v>
      </c>
    </row>
    <row r="53" spans="2:37" x14ac:dyDescent="0.25">
      <c r="B53" s="171" t="s">
        <v>117</v>
      </c>
      <c r="C53" s="171" t="s">
        <v>235</v>
      </c>
      <c r="E53" s="238" t="s">
        <v>652</v>
      </c>
      <c r="F53" s="171" t="s">
        <v>633</v>
      </c>
      <c r="G53" s="238" t="s">
        <v>545</v>
      </c>
      <c r="H53" s="171" t="s">
        <v>153</v>
      </c>
      <c r="I53" s="238" t="s">
        <v>374</v>
      </c>
      <c r="J53" s="171" t="s">
        <v>153</v>
      </c>
      <c r="K53" s="196" t="s">
        <v>771</v>
      </c>
      <c r="L53" s="196" t="s">
        <v>771</v>
      </c>
      <c r="M53" s="196" t="s">
        <v>771</v>
      </c>
      <c r="N53" s="196" t="s">
        <v>771</v>
      </c>
      <c r="O53" s="196" t="s">
        <v>771</v>
      </c>
      <c r="P53" s="196" t="s">
        <v>771</v>
      </c>
      <c r="Q53" s="171" t="s">
        <v>769</v>
      </c>
      <c r="R53" s="171" t="s">
        <v>691</v>
      </c>
      <c r="S53" s="196" t="s">
        <v>771</v>
      </c>
      <c r="T53" s="196" t="s">
        <v>771</v>
      </c>
      <c r="U53" s="196" t="s">
        <v>771</v>
      </c>
      <c r="V53" s="196" t="s">
        <v>771</v>
      </c>
      <c r="W53" s="196" t="s">
        <v>771</v>
      </c>
      <c r="X53" s="196" t="s">
        <v>771</v>
      </c>
      <c r="Y53" s="196" t="s">
        <v>771</v>
      </c>
      <c r="Z53" s="196" t="s">
        <v>771</v>
      </c>
      <c r="AA53" s="196" t="s">
        <v>771</v>
      </c>
      <c r="AB53" s="196" t="s">
        <v>771</v>
      </c>
      <c r="AC53" s="196" t="s">
        <v>771</v>
      </c>
      <c r="AJ53" s="171" t="s">
        <v>683</v>
      </c>
      <c r="AK53" s="171" t="s">
        <v>828</v>
      </c>
    </row>
    <row r="54" spans="2:37" x14ac:dyDescent="0.25">
      <c r="B54" s="171" t="s">
        <v>327</v>
      </c>
      <c r="C54" s="171" t="s">
        <v>236</v>
      </c>
      <c r="E54" s="238" t="s">
        <v>662</v>
      </c>
      <c r="F54" s="171" t="s">
        <v>303</v>
      </c>
      <c r="G54" s="238" t="s">
        <v>599</v>
      </c>
      <c r="H54" s="171" t="s">
        <v>303</v>
      </c>
      <c r="I54" s="238" t="s">
        <v>488</v>
      </c>
      <c r="J54" s="171" t="s">
        <v>303</v>
      </c>
      <c r="K54" s="196" t="s">
        <v>771</v>
      </c>
      <c r="L54" s="196" t="s">
        <v>771</v>
      </c>
      <c r="M54" s="196" t="s">
        <v>771</v>
      </c>
      <c r="N54" s="196" t="s">
        <v>771</v>
      </c>
      <c r="O54" s="196" t="s">
        <v>771</v>
      </c>
      <c r="P54" s="196" t="s">
        <v>771</v>
      </c>
      <c r="Q54" s="171" t="s">
        <v>769</v>
      </c>
      <c r="R54" s="171" t="s">
        <v>733</v>
      </c>
      <c r="S54" s="196" t="s">
        <v>771</v>
      </c>
      <c r="T54" s="196" t="s">
        <v>771</v>
      </c>
      <c r="U54" s="196" t="s">
        <v>771</v>
      </c>
      <c r="V54" s="196" t="s">
        <v>771</v>
      </c>
      <c r="W54" s="196" t="s">
        <v>771</v>
      </c>
      <c r="X54" s="196" t="s">
        <v>771</v>
      </c>
      <c r="Y54" s="196" t="s">
        <v>771</v>
      </c>
      <c r="Z54" s="171" t="s">
        <v>737</v>
      </c>
      <c r="AA54" s="171" t="s">
        <v>735</v>
      </c>
      <c r="AB54" s="196" t="s">
        <v>771</v>
      </c>
      <c r="AC54" s="196" t="s">
        <v>771</v>
      </c>
      <c r="AJ54" s="171" t="s">
        <v>727</v>
      </c>
      <c r="AK54" s="171" t="s">
        <v>829</v>
      </c>
    </row>
    <row r="55" spans="2:37" x14ac:dyDescent="0.25">
      <c r="B55" s="171" t="s">
        <v>319</v>
      </c>
      <c r="C55" s="171" t="s">
        <v>959</v>
      </c>
      <c r="E55" s="238" t="s">
        <v>662</v>
      </c>
      <c r="F55" s="171" t="s">
        <v>303</v>
      </c>
      <c r="G55" s="238" t="s">
        <v>600</v>
      </c>
      <c r="H55" s="171" t="s">
        <v>304</v>
      </c>
      <c r="I55" s="238" t="s">
        <v>489</v>
      </c>
      <c r="J55" s="171" t="s">
        <v>304</v>
      </c>
      <c r="K55" s="196" t="s">
        <v>771</v>
      </c>
      <c r="L55" s="196" t="s">
        <v>771</v>
      </c>
      <c r="M55" s="196" t="s">
        <v>771</v>
      </c>
      <c r="N55" s="196" t="s">
        <v>771</v>
      </c>
      <c r="O55" s="196" t="s">
        <v>771</v>
      </c>
      <c r="P55" s="196" t="s">
        <v>771</v>
      </c>
      <c r="Q55" s="171" t="s">
        <v>769</v>
      </c>
      <c r="R55" s="171" t="s">
        <v>733</v>
      </c>
      <c r="S55" s="196" t="s">
        <v>771</v>
      </c>
      <c r="T55" s="196" t="s">
        <v>771</v>
      </c>
      <c r="U55" s="196" t="s">
        <v>771</v>
      </c>
      <c r="V55" s="196" t="s">
        <v>771</v>
      </c>
      <c r="W55" s="196" t="s">
        <v>771</v>
      </c>
      <c r="X55" s="196" t="s">
        <v>771</v>
      </c>
      <c r="Y55" s="196" t="s">
        <v>771</v>
      </c>
      <c r="Z55" s="171" t="s">
        <v>737</v>
      </c>
      <c r="AA55" s="171" t="s">
        <v>735</v>
      </c>
      <c r="AB55" s="196" t="s">
        <v>771</v>
      </c>
      <c r="AC55" s="196" t="s">
        <v>771</v>
      </c>
      <c r="AJ55" s="171" t="s">
        <v>687</v>
      </c>
      <c r="AK55" s="171" t="s">
        <v>830</v>
      </c>
    </row>
    <row r="56" spans="2:37" x14ac:dyDescent="0.25">
      <c r="B56" s="171" t="s">
        <v>998</v>
      </c>
      <c r="C56" s="171" t="s">
        <v>290</v>
      </c>
      <c r="E56" s="238" t="s">
        <v>662</v>
      </c>
      <c r="F56" s="171" t="s">
        <v>303</v>
      </c>
      <c r="G56" s="238" t="s">
        <v>601</v>
      </c>
      <c r="H56" s="171" t="s">
        <v>305</v>
      </c>
      <c r="I56" s="238" t="s">
        <v>490</v>
      </c>
      <c r="J56" s="171" t="s">
        <v>305</v>
      </c>
      <c r="K56" s="196" t="s">
        <v>771</v>
      </c>
      <c r="L56" s="196" t="s">
        <v>771</v>
      </c>
      <c r="M56" s="196" t="s">
        <v>771</v>
      </c>
      <c r="N56" s="196" t="s">
        <v>771</v>
      </c>
      <c r="O56" s="196" t="s">
        <v>771</v>
      </c>
      <c r="P56" s="196" t="s">
        <v>771</v>
      </c>
      <c r="Q56" s="171" t="s">
        <v>769</v>
      </c>
      <c r="R56" s="171" t="s">
        <v>734</v>
      </c>
      <c r="S56" s="196" t="s">
        <v>771</v>
      </c>
      <c r="T56" s="196" t="s">
        <v>771</v>
      </c>
      <c r="U56" s="196" t="s">
        <v>771</v>
      </c>
      <c r="V56" s="196" t="s">
        <v>771</v>
      </c>
      <c r="W56" s="196" t="s">
        <v>771</v>
      </c>
      <c r="X56" s="196" t="s">
        <v>771</v>
      </c>
      <c r="Y56" s="196" t="s">
        <v>771</v>
      </c>
      <c r="Z56" s="171" t="s">
        <v>737</v>
      </c>
      <c r="AA56" s="171" t="s">
        <v>735</v>
      </c>
      <c r="AB56" s="196" t="s">
        <v>771</v>
      </c>
      <c r="AC56" s="196" t="s">
        <v>771</v>
      </c>
      <c r="AJ56" s="171" t="s">
        <v>693</v>
      </c>
      <c r="AK56" s="171" t="s">
        <v>831</v>
      </c>
    </row>
    <row r="57" spans="2:37" x14ac:dyDescent="0.25">
      <c r="B57" s="171" t="s">
        <v>318</v>
      </c>
      <c r="C57" s="171" t="s">
        <v>199</v>
      </c>
      <c r="E57" s="238" t="s">
        <v>650</v>
      </c>
      <c r="F57" s="171" t="s">
        <v>631</v>
      </c>
      <c r="G57" s="238" t="s">
        <v>534</v>
      </c>
      <c r="H57" s="171" t="s">
        <v>141</v>
      </c>
      <c r="I57" s="238" t="s">
        <v>362</v>
      </c>
      <c r="J57" s="171" t="s">
        <v>141</v>
      </c>
      <c r="K57" s="196" t="s">
        <v>771</v>
      </c>
      <c r="L57" s="196" t="s">
        <v>771</v>
      </c>
      <c r="M57" s="196" t="s">
        <v>771</v>
      </c>
      <c r="N57" s="196" t="s">
        <v>771</v>
      </c>
      <c r="O57" s="196" t="s">
        <v>771</v>
      </c>
      <c r="P57" s="196" t="s">
        <v>771</v>
      </c>
      <c r="Q57" s="171" t="s">
        <v>769</v>
      </c>
      <c r="R57" s="171" t="s">
        <v>686</v>
      </c>
      <c r="S57" s="196" t="s">
        <v>771</v>
      </c>
      <c r="T57" s="196" t="s">
        <v>771</v>
      </c>
      <c r="U57" s="196" t="s">
        <v>771</v>
      </c>
      <c r="V57" s="171" t="s">
        <v>687</v>
      </c>
      <c r="W57" s="196" t="s">
        <v>771</v>
      </c>
      <c r="X57" s="196" t="s">
        <v>771</v>
      </c>
      <c r="Y57" s="196" t="s">
        <v>771</v>
      </c>
      <c r="Z57" s="196" t="s">
        <v>771</v>
      </c>
      <c r="AA57" s="196" t="s">
        <v>771</v>
      </c>
      <c r="AB57" s="196" t="s">
        <v>771</v>
      </c>
      <c r="AC57" s="196" t="s">
        <v>771</v>
      </c>
      <c r="AJ57" s="171" t="s">
        <v>679</v>
      </c>
      <c r="AK57" s="171" t="s">
        <v>832</v>
      </c>
    </row>
    <row r="58" spans="2:37" x14ac:dyDescent="0.25">
      <c r="B58" s="171" t="s">
        <v>116</v>
      </c>
      <c r="C58" s="171" t="s">
        <v>248</v>
      </c>
      <c r="E58" s="238" t="s">
        <v>650</v>
      </c>
      <c r="F58" s="171" t="s">
        <v>631</v>
      </c>
      <c r="G58" s="238" t="s">
        <v>535</v>
      </c>
      <c r="H58" s="171" t="s">
        <v>142</v>
      </c>
      <c r="I58" s="238" t="s">
        <v>363</v>
      </c>
      <c r="J58" s="171" t="s">
        <v>142</v>
      </c>
      <c r="K58" s="196" t="s">
        <v>771</v>
      </c>
      <c r="L58" s="196" t="s">
        <v>771</v>
      </c>
      <c r="M58" s="196" t="s">
        <v>771</v>
      </c>
      <c r="N58" s="196" t="s">
        <v>771</v>
      </c>
      <c r="O58" s="196" t="s">
        <v>771</v>
      </c>
      <c r="P58" s="196" t="s">
        <v>771</v>
      </c>
      <c r="Q58" s="171" t="s">
        <v>769</v>
      </c>
      <c r="R58" s="171" t="s">
        <v>688</v>
      </c>
      <c r="S58" s="196" t="s">
        <v>771</v>
      </c>
      <c r="T58" s="196" t="s">
        <v>771</v>
      </c>
      <c r="U58" s="196" t="s">
        <v>771</v>
      </c>
      <c r="V58" s="171" t="s">
        <v>687</v>
      </c>
      <c r="W58" s="196" t="s">
        <v>771</v>
      </c>
      <c r="X58" s="196" t="s">
        <v>771</v>
      </c>
      <c r="Y58" s="196" t="s">
        <v>771</v>
      </c>
      <c r="Z58" s="196" t="s">
        <v>771</v>
      </c>
      <c r="AA58" s="196" t="s">
        <v>771</v>
      </c>
      <c r="AB58" s="196" t="s">
        <v>771</v>
      </c>
      <c r="AC58" s="196" t="s">
        <v>771</v>
      </c>
      <c r="AJ58" s="171" t="s">
        <v>699</v>
      </c>
      <c r="AK58" s="171" t="s">
        <v>833</v>
      </c>
    </row>
    <row r="59" spans="2:37" x14ac:dyDescent="0.25">
      <c r="B59" s="171" t="s">
        <v>119</v>
      </c>
      <c r="C59" s="171" t="s">
        <v>288</v>
      </c>
      <c r="E59" s="238" t="s">
        <v>650</v>
      </c>
      <c r="F59" s="171" t="s">
        <v>631</v>
      </c>
      <c r="G59" s="238" t="s">
        <v>536</v>
      </c>
      <c r="H59" s="171" t="s">
        <v>143</v>
      </c>
      <c r="I59" s="238" t="s">
        <v>364</v>
      </c>
      <c r="J59" s="171" t="s">
        <v>143</v>
      </c>
      <c r="K59" s="196" t="s">
        <v>771</v>
      </c>
      <c r="L59" s="196" t="s">
        <v>771</v>
      </c>
      <c r="M59" s="196" t="s">
        <v>771</v>
      </c>
      <c r="N59" s="196" t="s">
        <v>771</v>
      </c>
      <c r="O59" s="196" t="s">
        <v>771</v>
      </c>
      <c r="P59" s="196" t="s">
        <v>771</v>
      </c>
      <c r="Q59" s="171" t="s">
        <v>769</v>
      </c>
      <c r="R59" s="171" t="s">
        <v>689</v>
      </c>
      <c r="S59" s="196" t="s">
        <v>771</v>
      </c>
      <c r="T59" s="196" t="s">
        <v>771</v>
      </c>
      <c r="U59" s="196" t="s">
        <v>771</v>
      </c>
      <c r="V59" s="171" t="s">
        <v>687</v>
      </c>
      <c r="W59" s="196" t="s">
        <v>771</v>
      </c>
      <c r="X59" s="196" t="s">
        <v>771</v>
      </c>
      <c r="Y59" s="196" t="s">
        <v>771</v>
      </c>
      <c r="Z59" s="196" t="s">
        <v>771</v>
      </c>
      <c r="AA59" s="196" t="s">
        <v>771</v>
      </c>
      <c r="AB59" s="196" t="s">
        <v>771</v>
      </c>
      <c r="AC59" s="196" t="s">
        <v>771</v>
      </c>
      <c r="AJ59" s="171" t="s">
        <v>764</v>
      </c>
      <c r="AK59" s="171" t="s">
        <v>834</v>
      </c>
    </row>
    <row r="60" spans="2:37" x14ac:dyDescent="0.25">
      <c r="B60" s="171" t="s">
        <v>209</v>
      </c>
      <c r="C60" s="171" t="s">
        <v>204</v>
      </c>
      <c r="E60" s="238" t="s">
        <v>650</v>
      </c>
      <c r="F60" s="171" t="s">
        <v>631</v>
      </c>
      <c r="G60" s="238" t="s">
        <v>537</v>
      </c>
      <c r="H60" s="171" t="s">
        <v>144</v>
      </c>
      <c r="I60" s="238" t="s">
        <v>365</v>
      </c>
      <c r="J60" s="171" t="s">
        <v>144</v>
      </c>
      <c r="K60" s="196" t="s">
        <v>771</v>
      </c>
      <c r="L60" s="196" t="s">
        <v>771</v>
      </c>
      <c r="M60" s="196" t="s">
        <v>771</v>
      </c>
      <c r="N60" s="196" t="s">
        <v>771</v>
      </c>
      <c r="O60" s="196" t="s">
        <v>771</v>
      </c>
      <c r="P60" s="196" t="s">
        <v>771</v>
      </c>
      <c r="Q60" s="171" t="s">
        <v>769</v>
      </c>
      <c r="R60" s="171" t="s">
        <v>687</v>
      </c>
      <c r="S60" s="196" t="s">
        <v>771</v>
      </c>
      <c r="T60" s="196" t="s">
        <v>771</v>
      </c>
      <c r="U60" s="196" t="s">
        <v>771</v>
      </c>
      <c r="V60" s="196" t="s">
        <v>771</v>
      </c>
      <c r="W60" s="196" t="s">
        <v>771</v>
      </c>
      <c r="X60" s="196" t="s">
        <v>771</v>
      </c>
      <c r="Y60" s="196" t="s">
        <v>771</v>
      </c>
      <c r="Z60" s="196" t="s">
        <v>771</v>
      </c>
      <c r="AA60" s="196" t="s">
        <v>771</v>
      </c>
      <c r="AB60" s="196" t="s">
        <v>771</v>
      </c>
      <c r="AC60" s="196" t="s">
        <v>771</v>
      </c>
      <c r="AJ60" s="171" t="s">
        <v>732</v>
      </c>
      <c r="AK60" s="171" t="s">
        <v>835</v>
      </c>
    </row>
    <row r="61" spans="2:37" x14ac:dyDescent="0.25">
      <c r="B61" s="171" t="s">
        <v>328</v>
      </c>
      <c r="C61" s="171" t="s">
        <v>282</v>
      </c>
      <c r="E61" s="238" t="s">
        <v>657</v>
      </c>
      <c r="F61" s="171" t="s">
        <v>638</v>
      </c>
      <c r="G61" s="238" t="s">
        <v>576</v>
      </c>
      <c r="H61" s="171" t="s">
        <v>201</v>
      </c>
      <c r="I61" s="238" t="s">
        <v>389</v>
      </c>
      <c r="J61" s="171" t="s">
        <v>201</v>
      </c>
      <c r="K61" s="196" t="s">
        <v>771</v>
      </c>
      <c r="L61" s="196" t="s">
        <v>771</v>
      </c>
      <c r="M61" s="196" t="s">
        <v>771</v>
      </c>
      <c r="N61" s="196" t="s">
        <v>771</v>
      </c>
      <c r="O61" s="196" t="s">
        <v>771</v>
      </c>
      <c r="P61" s="196" t="s">
        <v>771</v>
      </c>
      <c r="Q61" s="171" t="s">
        <v>769</v>
      </c>
      <c r="R61" s="171" t="s">
        <v>709</v>
      </c>
      <c r="S61" s="196" t="s">
        <v>771</v>
      </c>
      <c r="T61" s="196" t="s">
        <v>771</v>
      </c>
      <c r="U61" s="196" t="s">
        <v>771</v>
      </c>
      <c r="V61" s="196" t="s">
        <v>771</v>
      </c>
      <c r="W61" s="196" t="s">
        <v>771</v>
      </c>
      <c r="X61" s="196" t="s">
        <v>771</v>
      </c>
      <c r="Y61" s="196" t="s">
        <v>771</v>
      </c>
      <c r="Z61" s="196" t="s">
        <v>771</v>
      </c>
      <c r="AA61" s="196" t="s">
        <v>771</v>
      </c>
      <c r="AB61" s="196" t="s">
        <v>771</v>
      </c>
      <c r="AC61" s="196" t="s">
        <v>771</v>
      </c>
      <c r="AJ61" s="171" t="s">
        <v>685</v>
      </c>
      <c r="AK61" s="171" t="s">
        <v>836</v>
      </c>
    </row>
    <row r="62" spans="2:37" x14ac:dyDescent="0.25">
      <c r="B62" s="171" t="s">
        <v>201</v>
      </c>
      <c r="C62" s="171" t="s">
        <v>289</v>
      </c>
      <c r="E62" s="238" t="s">
        <v>657</v>
      </c>
      <c r="F62" s="171" t="s">
        <v>638</v>
      </c>
      <c r="G62" s="238" t="s">
        <v>577</v>
      </c>
      <c r="H62" s="171" t="s">
        <v>202</v>
      </c>
      <c r="I62" s="238" t="s">
        <v>390</v>
      </c>
      <c r="J62" s="171" t="s">
        <v>203</v>
      </c>
      <c r="K62" s="196" t="s">
        <v>771</v>
      </c>
      <c r="L62" s="196" t="s">
        <v>771</v>
      </c>
      <c r="M62" s="196" t="s">
        <v>771</v>
      </c>
      <c r="N62" s="196" t="s">
        <v>771</v>
      </c>
      <c r="O62" s="196" t="s">
        <v>771</v>
      </c>
      <c r="P62" s="196" t="s">
        <v>771</v>
      </c>
      <c r="Q62" s="171" t="s">
        <v>769</v>
      </c>
      <c r="R62" s="171" t="s">
        <v>704</v>
      </c>
      <c r="S62" s="196" t="s">
        <v>771</v>
      </c>
      <c r="T62" s="196" t="s">
        <v>771</v>
      </c>
      <c r="U62" s="196" t="s">
        <v>771</v>
      </c>
      <c r="V62" s="196" t="s">
        <v>771</v>
      </c>
      <c r="W62" s="171" t="s">
        <v>709</v>
      </c>
      <c r="X62" s="196" t="s">
        <v>771</v>
      </c>
      <c r="Y62" s="196" t="s">
        <v>771</v>
      </c>
      <c r="Z62" s="196" t="s">
        <v>771</v>
      </c>
      <c r="AA62" s="196" t="s">
        <v>771</v>
      </c>
      <c r="AB62" s="196" t="s">
        <v>771</v>
      </c>
      <c r="AC62" s="196" t="s">
        <v>771</v>
      </c>
      <c r="AJ62" s="171" t="s">
        <v>684</v>
      </c>
      <c r="AK62" s="171" t="s">
        <v>837</v>
      </c>
    </row>
    <row r="63" spans="2:37" x14ac:dyDescent="0.25">
      <c r="B63" s="171" t="s">
        <v>198</v>
      </c>
      <c r="C63" s="171" t="s">
        <v>189</v>
      </c>
      <c r="E63" s="238" t="s">
        <v>657</v>
      </c>
      <c r="F63" s="171" t="s">
        <v>638</v>
      </c>
      <c r="G63" s="238" t="s">
        <v>577</v>
      </c>
      <c r="H63" s="171" t="s">
        <v>202</v>
      </c>
      <c r="I63" s="238" t="s">
        <v>391</v>
      </c>
      <c r="J63" s="171" t="s">
        <v>204</v>
      </c>
      <c r="K63" s="196" t="s">
        <v>771</v>
      </c>
      <c r="L63" s="196" t="s">
        <v>771</v>
      </c>
      <c r="M63" s="196" t="s">
        <v>771</v>
      </c>
      <c r="N63" s="196" t="s">
        <v>771</v>
      </c>
      <c r="O63" s="196" t="s">
        <v>771</v>
      </c>
      <c r="P63" s="196" t="s">
        <v>771</v>
      </c>
      <c r="Q63" s="171" t="s">
        <v>769</v>
      </c>
      <c r="R63" s="171" t="s">
        <v>712</v>
      </c>
      <c r="S63" s="196" t="s">
        <v>771</v>
      </c>
      <c r="T63" s="196" t="s">
        <v>771</v>
      </c>
      <c r="U63" s="196" t="s">
        <v>771</v>
      </c>
      <c r="V63" s="196" t="s">
        <v>771</v>
      </c>
      <c r="W63" s="196" t="s">
        <v>771</v>
      </c>
      <c r="X63" s="196" t="s">
        <v>771</v>
      </c>
      <c r="Y63" s="196" t="s">
        <v>771</v>
      </c>
      <c r="Z63" s="196" t="s">
        <v>771</v>
      </c>
      <c r="AA63" s="196" t="s">
        <v>771</v>
      </c>
      <c r="AB63" s="196" t="s">
        <v>771</v>
      </c>
      <c r="AC63" s="196" t="s">
        <v>771</v>
      </c>
      <c r="AJ63" s="171" t="s">
        <v>716</v>
      </c>
      <c r="AK63" s="171" t="s">
        <v>838</v>
      </c>
    </row>
    <row r="64" spans="2:37" x14ac:dyDescent="0.25">
      <c r="B64" s="171" t="s">
        <v>230</v>
      </c>
      <c r="C64" s="171" t="s">
        <v>115</v>
      </c>
      <c r="E64" s="238" t="s">
        <v>657</v>
      </c>
      <c r="F64" s="171" t="s">
        <v>638</v>
      </c>
      <c r="G64" s="238" t="s">
        <v>577</v>
      </c>
      <c r="H64" s="171" t="s">
        <v>202</v>
      </c>
      <c r="I64" s="238" t="s">
        <v>392</v>
      </c>
      <c r="J64" s="171" t="s">
        <v>205</v>
      </c>
      <c r="K64" s="196" t="s">
        <v>771</v>
      </c>
      <c r="L64" s="196" t="s">
        <v>771</v>
      </c>
      <c r="M64" s="196" t="s">
        <v>771</v>
      </c>
      <c r="N64" s="196" t="s">
        <v>771</v>
      </c>
      <c r="O64" s="196" t="s">
        <v>771</v>
      </c>
      <c r="P64" s="196" t="s">
        <v>771</v>
      </c>
      <c r="Q64" s="171" t="s">
        <v>769</v>
      </c>
      <c r="R64" s="171" t="s">
        <v>704</v>
      </c>
      <c r="S64" s="196" t="s">
        <v>771</v>
      </c>
      <c r="T64" s="196" t="s">
        <v>771</v>
      </c>
      <c r="U64" s="196" t="s">
        <v>771</v>
      </c>
      <c r="V64" s="196" t="s">
        <v>771</v>
      </c>
      <c r="W64" s="171" t="s">
        <v>709</v>
      </c>
      <c r="X64" s="196" t="s">
        <v>771</v>
      </c>
      <c r="Y64" s="196" t="s">
        <v>771</v>
      </c>
      <c r="Z64" s="196" t="s">
        <v>771</v>
      </c>
      <c r="AA64" s="196" t="s">
        <v>771</v>
      </c>
      <c r="AB64" s="196" t="s">
        <v>771</v>
      </c>
      <c r="AC64" s="196" t="s">
        <v>771</v>
      </c>
      <c r="AJ64" s="171" t="s">
        <v>694</v>
      </c>
      <c r="AK64" s="171" t="s">
        <v>839</v>
      </c>
    </row>
    <row r="65" spans="2:37" x14ac:dyDescent="0.25">
      <c r="B65" s="171" t="s">
        <v>157</v>
      </c>
      <c r="C65" s="171" t="s">
        <v>129</v>
      </c>
      <c r="E65" s="238" t="s">
        <v>657</v>
      </c>
      <c r="F65" s="171" t="s">
        <v>638</v>
      </c>
      <c r="G65" s="238" t="s">
        <v>577</v>
      </c>
      <c r="H65" s="171" t="s">
        <v>202</v>
      </c>
      <c r="I65" s="238" t="s">
        <v>393</v>
      </c>
      <c r="J65" s="171" t="s">
        <v>206</v>
      </c>
      <c r="K65" s="196" t="s">
        <v>771</v>
      </c>
      <c r="L65" s="196" t="s">
        <v>771</v>
      </c>
      <c r="M65" s="196" t="s">
        <v>771</v>
      </c>
      <c r="N65" s="196" t="s">
        <v>771</v>
      </c>
      <c r="O65" s="196" t="s">
        <v>771</v>
      </c>
      <c r="P65" s="196" t="s">
        <v>771</v>
      </c>
      <c r="Q65" s="171" t="s">
        <v>769</v>
      </c>
      <c r="R65" s="171" t="s">
        <v>704</v>
      </c>
      <c r="S65" s="196" t="s">
        <v>771</v>
      </c>
      <c r="T65" s="196" t="s">
        <v>771</v>
      </c>
      <c r="U65" s="196" t="s">
        <v>771</v>
      </c>
      <c r="V65" s="196" t="s">
        <v>771</v>
      </c>
      <c r="W65" s="171" t="s">
        <v>709</v>
      </c>
      <c r="X65" s="196" t="s">
        <v>771</v>
      </c>
      <c r="Y65" s="196" t="s">
        <v>771</v>
      </c>
      <c r="Z65" s="196" t="s">
        <v>771</v>
      </c>
      <c r="AA65" s="196" t="s">
        <v>771</v>
      </c>
      <c r="AB65" s="196" t="s">
        <v>771</v>
      </c>
      <c r="AC65" s="196" t="s">
        <v>771</v>
      </c>
      <c r="AJ65" s="171" t="s">
        <v>747</v>
      </c>
      <c r="AK65" s="171" t="s">
        <v>840</v>
      </c>
    </row>
    <row r="66" spans="2:37" x14ac:dyDescent="0.25">
      <c r="B66" s="171" t="s">
        <v>329</v>
      </c>
      <c r="C66" s="171" t="s">
        <v>117</v>
      </c>
      <c r="E66" s="238" t="s">
        <v>657</v>
      </c>
      <c r="F66" s="171" t="s">
        <v>638</v>
      </c>
      <c r="G66" s="238" t="s">
        <v>577</v>
      </c>
      <c r="H66" s="171" t="s">
        <v>202</v>
      </c>
      <c r="I66" s="238" t="s">
        <v>394</v>
      </c>
      <c r="J66" s="171" t="s">
        <v>207</v>
      </c>
      <c r="K66" s="196" t="s">
        <v>771</v>
      </c>
      <c r="L66" s="196" t="s">
        <v>771</v>
      </c>
      <c r="M66" s="196" t="s">
        <v>771</v>
      </c>
      <c r="N66" s="196" t="s">
        <v>771</v>
      </c>
      <c r="O66" s="196" t="s">
        <v>771</v>
      </c>
      <c r="P66" s="196" t="s">
        <v>771</v>
      </c>
      <c r="Q66" s="171" t="s">
        <v>769</v>
      </c>
      <c r="R66" s="171" t="s">
        <v>705</v>
      </c>
      <c r="S66" s="196" t="s">
        <v>771</v>
      </c>
      <c r="T66" s="196" t="s">
        <v>771</v>
      </c>
      <c r="U66" s="196" t="s">
        <v>771</v>
      </c>
      <c r="V66" s="196" t="s">
        <v>771</v>
      </c>
      <c r="W66" s="171" t="s">
        <v>709</v>
      </c>
      <c r="X66" s="196" t="s">
        <v>771</v>
      </c>
      <c r="Y66" s="196" t="s">
        <v>771</v>
      </c>
      <c r="Z66" s="196" t="s">
        <v>771</v>
      </c>
      <c r="AA66" s="196" t="s">
        <v>771</v>
      </c>
      <c r="AB66" s="196" t="s">
        <v>771</v>
      </c>
      <c r="AC66" s="196" t="s">
        <v>771</v>
      </c>
      <c r="AJ66" s="171" t="s">
        <v>686</v>
      </c>
      <c r="AK66" s="171" t="s">
        <v>841</v>
      </c>
    </row>
    <row r="67" spans="2:37" x14ac:dyDescent="0.25">
      <c r="B67" s="171" t="s">
        <v>332</v>
      </c>
      <c r="C67" s="171" t="s">
        <v>128</v>
      </c>
      <c r="E67" s="238" t="s">
        <v>657</v>
      </c>
      <c r="F67" s="171" t="s">
        <v>638</v>
      </c>
      <c r="G67" s="238" t="s">
        <v>577</v>
      </c>
      <c r="H67" s="171" t="s">
        <v>202</v>
      </c>
      <c r="I67" s="238" t="s">
        <v>395</v>
      </c>
      <c r="J67" s="171" t="s">
        <v>208</v>
      </c>
      <c r="K67" s="196" t="s">
        <v>771</v>
      </c>
      <c r="L67" s="196" t="s">
        <v>771</v>
      </c>
      <c r="M67" s="196" t="s">
        <v>771</v>
      </c>
      <c r="N67" s="196" t="s">
        <v>771</v>
      </c>
      <c r="O67" s="196" t="s">
        <v>771</v>
      </c>
      <c r="P67" s="196" t="s">
        <v>771</v>
      </c>
      <c r="Q67" s="171" t="s">
        <v>769</v>
      </c>
      <c r="R67" s="171" t="s">
        <v>705</v>
      </c>
      <c r="S67" s="196" t="s">
        <v>771</v>
      </c>
      <c r="T67" s="196" t="s">
        <v>771</v>
      </c>
      <c r="U67" s="196" t="s">
        <v>771</v>
      </c>
      <c r="V67" s="196" t="s">
        <v>771</v>
      </c>
      <c r="W67" s="171" t="s">
        <v>709</v>
      </c>
      <c r="X67" s="196" t="s">
        <v>771</v>
      </c>
      <c r="Y67" s="196" t="s">
        <v>771</v>
      </c>
      <c r="Z67" s="196" t="s">
        <v>771</v>
      </c>
      <c r="AA67" s="196" t="s">
        <v>771</v>
      </c>
      <c r="AB67" s="196" t="s">
        <v>771</v>
      </c>
      <c r="AC67" s="196" t="s">
        <v>771</v>
      </c>
      <c r="AJ67" s="171" t="s">
        <v>709</v>
      </c>
      <c r="AK67" s="171" t="s">
        <v>842</v>
      </c>
    </row>
    <row r="68" spans="2:37" x14ac:dyDescent="0.25">
      <c r="B68" s="171" t="s">
        <v>291</v>
      </c>
      <c r="C68" s="171" t="s">
        <v>139</v>
      </c>
      <c r="E68" s="238" t="s">
        <v>657</v>
      </c>
      <c r="F68" s="171" t="s">
        <v>638</v>
      </c>
      <c r="G68" s="238" t="s">
        <v>578</v>
      </c>
      <c r="H68" s="171" t="s">
        <v>209</v>
      </c>
      <c r="I68" s="238" t="s">
        <v>396</v>
      </c>
      <c r="J68" s="171" t="s">
        <v>210</v>
      </c>
      <c r="K68" s="196" t="s">
        <v>771</v>
      </c>
      <c r="L68" s="196" t="s">
        <v>771</v>
      </c>
      <c r="M68" s="196" t="s">
        <v>771</v>
      </c>
      <c r="N68" s="196" t="s">
        <v>771</v>
      </c>
      <c r="O68" s="196" t="s">
        <v>771</v>
      </c>
      <c r="P68" s="196" t="s">
        <v>771</v>
      </c>
      <c r="Q68" s="171" t="s">
        <v>769</v>
      </c>
      <c r="R68" s="171" t="s">
        <v>714</v>
      </c>
      <c r="S68" s="171" t="s">
        <v>769</v>
      </c>
      <c r="T68" s="171" t="s">
        <v>755</v>
      </c>
      <c r="U68" s="196" t="s">
        <v>771</v>
      </c>
      <c r="V68" s="196" t="s">
        <v>771</v>
      </c>
      <c r="W68" s="171" t="s">
        <v>709</v>
      </c>
      <c r="X68" s="196" t="s">
        <v>771</v>
      </c>
      <c r="Y68" s="196" t="s">
        <v>771</v>
      </c>
      <c r="Z68" s="196" t="s">
        <v>771</v>
      </c>
      <c r="AA68" s="196" t="s">
        <v>771</v>
      </c>
      <c r="AB68" s="196" t="s">
        <v>771</v>
      </c>
      <c r="AC68" s="196" t="s">
        <v>771</v>
      </c>
      <c r="AJ68" s="171" t="s">
        <v>752</v>
      </c>
      <c r="AK68" s="171" t="s">
        <v>843</v>
      </c>
    </row>
    <row r="69" spans="2:37" x14ac:dyDescent="0.25">
      <c r="B69" s="171" t="s">
        <v>320</v>
      </c>
      <c r="C69" s="171" t="s">
        <v>218</v>
      </c>
      <c r="E69" s="238" t="s">
        <v>657</v>
      </c>
      <c r="F69" s="171" t="s">
        <v>638</v>
      </c>
      <c r="G69" s="238" t="s">
        <v>578</v>
      </c>
      <c r="H69" s="171" t="s">
        <v>209</v>
      </c>
      <c r="I69" s="238" t="s">
        <v>397</v>
      </c>
      <c r="J69" s="171" t="s">
        <v>211</v>
      </c>
      <c r="K69" s="196" t="s">
        <v>771</v>
      </c>
      <c r="L69" s="196" t="s">
        <v>771</v>
      </c>
      <c r="M69" s="196" t="s">
        <v>771</v>
      </c>
      <c r="N69" s="196" t="s">
        <v>771</v>
      </c>
      <c r="O69" s="196" t="s">
        <v>771</v>
      </c>
      <c r="P69" s="196" t="s">
        <v>771</v>
      </c>
      <c r="Q69" s="171" t="s">
        <v>769</v>
      </c>
      <c r="R69" s="171" t="s">
        <v>706</v>
      </c>
      <c r="S69" s="196" t="s">
        <v>771</v>
      </c>
      <c r="T69" s="196" t="s">
        <v>771</v>
      </c>
      <c r="U69" s="196" t="s">
        <v>771</v>
      </c>
      <c r="V69" s="196" t="s">
        <v>771</v>
      </c>
      <c r="W69" s="171" t="s">
        <v>709</v>
      </c>
      <c r="X69" s="196" t="s">
        <v>771</v>
      </c>
      <c r="Y69" s="196" t="s">
        <v>771</v>
      </c>
      <c r="Z69" s="196" t="s">
        <v>771</v>
      </c>
      <c r="AA69" s="196" t="s">
        <v>771</v>
      </c>
      <c r="AB69" s="196" t="s">
        <v>771</v>
      </c>
      <c r="AC69" s="196" t="s">
        <v>771</v>
      </c>
      <c r="AJ69" s="171" t="s">
        <v>724</v>
      </c>
      <c r="AK69" s="171" t="s">
        <v>844</v>
      </c>
    </row>
    <row r="70" spans="2:37" x14ac:dyDescent="0.25">
      <c r="B70" s="171" t="s">
        <v>155</v>
      </c>
      <c r="C70" s="171" t="s">
        <v>163</v>
      </c>
      <c r="E70" s="238" t="s">
        <v>657</v>
      </c>
      <c r="F70" s="171" t="s">
        <v>638</v>
      </c>
      <c r="G70" s="238" t="s">
        <v>578</v>
      </c>
      <c r="H70" s="171" t="s">
        <v>209</v>
      </c>
      <c r="I70" s="238" t="s">
        <v>398</v>
      </c>
      <c r="J70" s="171" t="s">
        <v>212</v>
      </c>
      <c r="K70" s="196" t="s">
        <v>771</v>
      </c>
      <c r="L70" s="196" t="s">
        <v>771</v>
      </c>
      <c r="M70" s="196" t="s">
        <v>771</v>
      </c>
      <c r="N70" s="196" t="s">
        <v>771</v>
      </c>
      <c r="O70" s="196" t="s">
        <v>771</v>
      </c>
      <c r="P70" s="196" t="s">
        <v>771</v>
      </c>
      <c r="Q70" s="171" t="s">
        <v>769</v>
      </c>
      <c r="R70" s="171" t="s">
        <v>707</v>
      </c>
      <c r="S70" s="196" t="s">
        <v>771</v>
      </c>
      <c r="T70" s="196" t="s">
        <v>771</v>
      </c>
      <c r="U70" s="196" t="s">
        <v>771</v>
      </c>
      <c r="V70" s="196" t="s">
        <v>771</v>
      </c>
      <c r="W70" s="171" t="s">
        <v>709</v>
      </c>
      <c r="X70" s="196" t="s">
        <v>771</v>
      </c>
      <c r="Y70" s="196" t="s">
        <v>771</v>
      </c>
      <c r="Z70" s="196" t="s">
        <v>771</v>
      </c>
      <c r="AA70" s="196" t="s">
        <v>771</v>
      </c>
      <c r="AB70" s="196" t="s">
        <v>771</v>
      </c>
      <c r="AC70" s="196" t="s">
        <v>771</v>
      </c>
      <c r="AJ70" s="171" t="s">
        <v>730</v>
      </c>
      <c r="AK70" s="171" t="s">
        <v>845</v>
      </c>
    </row>
    <row r="71" spans="2:37" x14ac:dyDescent="0.25">
      <c r="B71" s="171" t="s">
        <v>308</v>
      </c>
      <c r="C71" s="171" t="s">
        <v>183</v>
      </c>
      <c r="E71" s="238" t="s">
        <v>657</v>
      </c>
      <c r="F71" s="171" t="s">
        <v>638</v>
      </c>
      <c r="G71" s="238" t="s">
        <v>578</v>
      </c>
      <c r="H71" s="171" t="s">
        <v>209</v>
      </c>
      <c r="I71" s="238" t="s">
        <v>399</v>
      </c>
      <c r="J71" s="171" t="s">
        <v>213</v>
      </c>
      <c r="K71" s="196" t="s">
        <v>771</v>
      </c>
      <c r="L71" s="196" t="s">
        <v>771</v>
      </c>
      <c r="M71" s="196" t="s">
        <v>771</v>
      </c>
      <c r="N71" s="196" t="s">
        <v>771</v>
      </c>
      <c r="O71" s="196" t="s">
        <v>771</v>
      </c>
      <c r="P71" s="196" t="s">
        <v>771</v>
      </c>
      <c r="Q71" s="171" t="s">
        <v>769</v>
      </c>
      <c r="R71" s="171" t="s">
        <v>704</v>
      </c>
      <c r="S71" s="196" t="s">
        <v>771</v>
      </c>
      <c r="T71" s="196" t="s">
        <v>771</v>
      </c>
      <c r="U71" s="196" t="s">
        <v>771</v>
      </c>
      <c r="V71" s="196" t="s">
        <v>771</v>
      </c>
      <c r="W71" s="171" t="s">
        <v>709</v>
      </c>
      <c r="X71" s="196" t="s">
        <v>771</v>
      </c>
      <c r="Y71" s="196" t="s">
        <v>771</v>
      </c>
      <c r="Z71" s="196" t="s">
        <v>771</v>
      </c>
      <c r="AA71" s="196" t="s">
        <v>771</v>
      </c>
      <c r="AB71" s="196" t="s">
        <v>771</v>
      </c>
      <c r="AC71" s="196" t="s">
        <v>771</v>
      </c>
      <c r="AJ71" s="171" t="s">
        <v>758</v>
      </c>
      <c r="AK71" s="171" t="s">
        <v>846</v>
      </c>
    </row>
    <row r="72" spans="2:37" x14ac:dyDescent="0.25">
      <c r="B72" s="171" t="s">
        <v>982</v>
      </c>
      <c r="C72" s="171" t="s">
        <v>203</v>
      </c>
      <c r="E72" s="238" t="s">
        <v>657</v>
      </c>
      <c r="F72" s="171" t="s">
        <v>638</v>
      </c>
      <c r="G72" s="238" t="s">
        <v>578</v>
      </c>
      <c r="H72" s="171" t="s">
        <v>209</v>
      </c>
      <c r="I72" s="238" t="s">
        <v>400</v>
      </c>
      <c r="J72" s="171" t="s">
        <v>214</v>
      </c>
      <c r="K72" s="196" t="s">
        <v>771</v>
      </c>
      <c r="L72" s="196" t="s">
        <v>771</v>
      </c>
      <c r="M72" s="196" t="s">
        <v>771</v>
      </c>
      <c r="N72" s="196" t="s">
        <v>771</v>
      </c>
      <c r="O72" s="196" t="s">
        <v>771</v>
      </c>
      <c r="P72" s="196" t="s">
        <v>771</v>
      </c>
      <c r="Q72" s="171" t="s">
        <v>769</v>
      </c>
      <c r="R72" s="171" t="s">
        <v>708</v>
      </c>
      <c r="S72" s="196" t="s">
        <v>771</v>
      </c>
      <c r="T72" s="196" t="s">
        <v>771</v>
      </c>
      <c r="U72" s="196" t="s">
        <v>771</v>
      </c>
      <c r="V72" s="196" t="s">
        <v>771</v>
      </c>
      <c r="W72" s="171" t="s">
        <v>709</v>
      </c>
      <c r="X72" s="196" t="s">
        <v>771</v>
      </c>
      <c r="Y72" s="196" t="s">
        <v>771</v>
      </c>
      <c r="Z72" s="196" t="s">
        <v>771</v>
      </c>
      <c r="AA72" s="196" t="s">
        <v>771</v>
      </c>
      <c r="AB72" s="196" t="s">
        <v>771</v>
      </c>
      <c r="AC72" s="196" t="s">
        <v>771</v>
      </c>
      <c r="AJ72" s="171" t="s">
        <v>715</v>
      </c>
      <c r="AK72" s="171" t="s">
        <v>847</v>
      </c>
    </row>
    <row r="73" spans="2:37" x14ac:dyDescent="0.25">
      <c r="B73" s="171" t="s">
        <v>954</v>
      </c>
      <c r="C73" s="171" t="s">
        <v>327</v>
      </c>
      <c r="E73" s="238" t="s">
        <v>657</v>
      </c>
      <c r="F73" s="171" t="s">
        <v>638</v>
      </c>
      <c r="G73" s="238" t="s">
        <v>578</v>
      </c>
      <c r="H73" s="171" t="s">
        <v>209</v>
      </c>
      <c r="I73" s="238" t="s">
        <v>401</v>
      </c>
      <c r="J73" s="171" t="s">
        <v>215</v>
      </c>
      <c r="K73" s="196" t="s">
        <v>771</v>
      </c>
      <c r="L73" s="196" t="s">
        <v>771</v>
      </c>
      <c r="M73" s="196" t="s">
        <v>771</v>
      </c>
      <c r="N73" s="196" t="s">
        <v>771</v>
      </c>
      <c r="O73" s="196" t="s">
        <v>771</v>
      </c>
      <c r="P73" s="196" t="s">
        <v>771</v>
      </c>
      <c r="Q73" s="171" t="s">
        <v>769</v>
      </c>
      <c r="R73" s="171" t="s">
        <v>709</v>
      </c>
      <c r="S73" s="196" t="s">
        <v>771</v>
      </c>
      <c r="T73" s="196" t="s">
        <v>771</v>
      </c>
      <c r="U73" s="196" t="s">
        <v>771</v>
      </c>
      <c r="V73" s="196" t="s">
        <v>771</v>
      </c>
      <c r="W73" s="196" t="s">
        <v>771</v>
      </c>
      <c r="X73" s="196" t="s">
        <v>771</v>
      </c>
      <c r="Y73" s="196" t="s">
        <v>771</v>
      </c>
      <c r="Z73" s="196" t="s">
        <v>771</v>
      </c>
      <c r="AA73" s="196" t="s">
        <v>771</v>
      </c>
      <c r="AB73" s="196" t="s">
        <v>771</v>
      </c>
      <c r="AC73" s="196" t="s">
        <v>771</v>
      </c>
      <c r="AJ73" s="171" t="s">
        <v>734</v>
      </c>
      <c r="AK73" s="171" t="s">
        <v>848</v>
      </c>
    </row>
    <row r="74" spans="2:37" x14ac:dyDescent="0.25">
      <c r="B74" s="171" t="s">
        <v>326</v>
      </c>
      <c r="C74" s="171" t="s">
        <v>133</v>
      </c>
      <c r="E74" s="238" t="s">
        <v>657</v>
      </c>
      <c r="F74" s="171" t="s">
        <v>638</v>
      </c>
      <c r="G74" s="238" t="s">
        <v>578</v>
      </c>
      <c r="H74" s="171" t="s">
        <v>209</v>
      </c>
      <c r="I74" s="238" t="s">
        <v>402</v>
      </c>
      <c r="J74" s="171" t="s">
        <v>216</v>
      </c>
      <c r="K74" s="196" t="s">
        <v>771</v>
      </c>
      <c r="L74" s="196" t="s">
        <v>771</v>
      </c>
      <c r="M74" s="196" t="s">
        <v>771</v>
      </c>
      <c r="N74" s="196" t="s">
        <v>771</v>
      </c>
      <c r="O74" s="196" t="s">
        <v>771</v>
      </c>
      <c r="P74" s="196" t="s">
        <v>771</v>
      </c>
      <c r="Q74" s="171" t="s">
        <v>769</v>
      </c>
      <c r="R74" s="171" t="s">
        <v>709</v>
      </c>
      <c r="S74" s="196" t="s">
        <v>771</v>
      </c>
      <c r="T74" s="196" t="s">
        <v>771</v>
      </c>
      <c r="U74" s="196" t="s">
        <v>771</v>
      </c>
      <c r="V74" s="196" t="s">
        <v>771</v>
      </c>
      <c r="W74" s="196" t="s">
        <v>771</v>
      </c>
      <c r="X74" s="196" t="s">
        <v>771</v>
      </c>
      <c r="Y74" s="196" t="s">
        <v>771</v>
      </c>
      <c r="Z74" s="196" t="s">
        <v>771</v>
      </c>
      <c r="AA74" s="196" t="s">
        <v>771</v>
      </c>
      <c r="AB74" s="196" t="s">
        <v>771</v>
      </c>
      <c r="AC74" s="196" t="s">
        <v>771</v>
      </c>
      <c r="AJ74" s="171" t="s">
        <v>721</v>
      </c>
      <c r="AK74" s="171" t="s">
        <v>849</v>
      </c>
    </row>
    <row r="75" spans="2:37" x14ac:dyDescent="0.25">
      <c r="B75" s="171" t="s">
        <v>150</v>
      </c>
      <c r="C75" s="171" t="s">
        <v>319</v>
      </c>
      <c r="E75" s="238" t="s">
        <v>657</v>
      </c>
      <c r="F75" s="171" t="s">
        <v>638</v>
      </c>
      <c r="G75" s="238" t="s">
        <v>578</v>
      </c>
      <c r="H75" s="171" t="s">
        <v>209</v>
      </c>
      <c r="I75" s="238" t="s">
        <v>403</v>
      </c>
      <c r="J75" s="171" t="s">
        <v>217</v>
      </c>
      <c r="K75" s="196" t="s">
        <v>771</v>
      </c>
      <c r="L75" s="196" t="s">
        <v>771</v>
      </c>
      <c r="M75" s="196" t="s">
        <v>771</v>
      </c>
      <c r="N75" s="196" t="s">
        <v>771</v>
      </c>
      <c r="O75" s="196" t="s">
        <v>771</v>
      </c>
      <c r="P75" s="196" t="s">
        <v>771</v>
      </c>
      <c r="Q75" s="171" t="s">
        <v>769</v>
      </c>
      <c r="R75" s="171" t="s">
        <v>709</v>
      </c>
      <c r="S75" s="196" t="s">
        <v>771</v>
      </c>
      <c r="T75" s="196" t="s">
        <v>771</v>
      </c>
      <c r="U75" s="196" t="s">
        <v>771</v>
      </c>
      <c r="V75" s="196" t="s">
        <v>771</v>
      </c>
      <c r="W75" s="196" t="s">
        <v>771</v>
      </c>
      <c r="X75" s="196" t="s">
        <v>771</v>
      </c>
      <c r="Y75" s="196" t="s">
        <v>771</v>
      </c>
      <c r="Z75" s="196" t="s">
        <v>771</v>
      </c>
      <c r="AA75" s="196" t="s">
        <v>771</v>
      </c>
      <c r="AB75" s="196" t="s">
        <v>771</v>
      </c>
      <c r="AC75" s="196" t="s">
        <v>771</v>
      </c>
      <c r="AJ75" s="171" t="s">
        <v>689</v>
      </c>
      <c r="AK75" s="171" t="s">
        <v>850</v>
      </c>
    </row>
    <row r="76" spans="2:37" x14ac:dyDescent="0.25">
      <c r="B76" s="171" t="s">
        <v>121</v>
      </c>
      <c r="C76" s="171" t="s">
        <v>998</v>
      </c>
      <c r="E76" s="238" t="s">
        <v>657</v>
      </c>
      <c r="F76" s="171" t="s">
        <v>638</v>
      </c>
      <c r="G76" s="238" t="s">
        <v>578</v>
      </c>
      <c r="H76" s="171" t="s">
        <v>209</v>
      </c>
      <c r="I76" s="238" t="s">
        <v>404</v>
      </c>
      <c r="J76" s="171" t="s">
        <v>218</v>
      </c>
      <c r="K76" s="196" t="s">
        <v>771</v>
      </c>
      <c r="L76" s="196" t="s">
        <v>771</v>
      </c>
      <c r="M76" s="196" t="s">
        <v>771</v>
      </c>
      <c r="N76" s="196" t="s">
        <v>771</v>
      </c>
      <c r="O76" s="196" t="s">
        <v>771</v>
      </c>
      <c r="P76" s="196" t="s">
        <v>771</v>
      </c>
      <c r="Q76" s="171" t="s">
        <v>769</v>
      </c>
      <c r="R76" s="171" t="s">
        <v>710</v>
      </c>
      <c r="S76" s="196" t="s">
        <v>771</v>
      </c>
      <c r="T76" s="196" t="s">
        <v>771</v>
      </c>
      <c r="U76" s="196" t="s">
        <v>771</v>
      </c>
      <c r="V76" s="196" t="s">
        <v>771</v>
      </c>
      <c r="W76" s="171" t="s">
        <v>709</v>
      </c>
      <c r="X76" s="196" t="s">
        <v>771</v>
      </c>
      <c r="Y76" s="196" t="s">
        <v>771</v>
      </c>
      <c r="Z76" s="196" t="s">
        <v>771</v>
      </c>
      <c r="AA76" s="196" t="s">
        <v>771</v>
      </c>
      <c r="AB76" s="196" t="s">
        <v>771</v>
      </c>
      <c r="AC76" s="196" t="s">
        <v>771</v>
      </c>
      <c r="AJ76" s="171" t="s">
        <v>682</v>
      </c>
      <c r="AK76" s="171" t="s">
        <v>851</v>
      </c>
    </row>
    <row r="77" spans="2:37" x14ac:dyDescent="0.25">
      <c r="B77" s="171" t="s">
        <v>147</v>
      </c>
      <c r="C77" s="171" t="s">
        <v>318</v>
      </c>
      <c r="E77" s="238" t="s">
        <v>657</v>
      </c>
      <c r="F77" s="171" t="s">
        <v>638</v>
      </c>
      <c r="G77" s="238" t="s">
        <v>579</v>
      </c>
      <c r="H77" s="171" t="s">
        <v>219</v>
      </c>
      <c r="I77" s="238" t="s">
        <v>405</v>
      </c>
      <c r="J77" s="171" t="s">
        <v>220</v>
      </c>
      <c r="K77" s="196" t="s">
        <v>771</v>
      </c>
      <c r="L77" s="196" t="s">
        <v>771</v>
      </c>
      <c r="M77" s="196" t="s">
        <v>771</v>
      </c>
      <c r="N77" s="196" t="s">
        <v>771</v>
      </c>
      <c r="O77" s="196" t="s">
        <v>771</v>
      </c>
      <c r="P77" s="196" t="s">
        <v>771</v>
      </c>
      <c r="Q77" s="171" t="s">
        <v>769</v>
      </c>
      <c r="R77" s="171" t="s">
        <v>711</v>
      </c>
      <c r="S77" s="196" t="s">
        <v>771</v>
      </c>
      <c r="T77" s="196" t="s">
        <v>771</v>
      </c>
      <c r="U77" s="196" t="s">
        <v>771</v>
      </c>
      <c r="V77" s="196" t="s">
        <v>771</v>
      </c>
      <c r="W77" s="171" t="s">
        <v>709</v>
      </c>
      <c r="X77" s="196" t="s">
        <v>771</v>
      </c>
      <c r="Y77" s="196" t="s">
        <v>771</v>
      </c>
      <c r="Z77" s="196" t="s">
        <v>771</v>
      </c>
      <c r="AA77" s="196" t="s">
        <v>771</v>
      </c>
      <c r="AB77" s="196" t="s">
        <v>771</v>
      </c>
      <c r="AC77" s="196" t="s">
        <v>771</v>
      </c>
      <c r="AJ77" s="171" t="s">
        <v>711</v>
      </c>
      <c r="AK77" s="171" t="s">
        <v>852</v>
      </c>
    </row>
    <row r="78" spans="2:37" x14ac:dyDescent="0.25">
      <c r="B78" s="171" t="s">
        <v>305</v>
      </c>
      <c r="C78" s="171" t="s">
        <v>277</v>
      </c>
      <c r="E78" s="238" t="s">
        <v>657</v>
      </c>
      <c r="F78" s="171" t="s">
        <v>638</v>
      </c>
      <c r="G78" s="238" t="s">
        <v>579</v>
      </c>
      <c r="H78" s="171" t="s">
        <v>219</v>
      </c>
      <c r="I78" s="238" t="s">
        <v>406</v>
      </c>
      <c r="J78" s="171" t="s">
        <v>221</v>
      </c>
      <c r="K78" s="196" t="s">
        <v>771</v>
      </c>
      <c r="L78" s="196" t="s">
        <v>771</v>
      </c>
      <c r="M78" s="196" t="s">
        <v>771</v>
      </c>
      <c r="N78" s="196" t="s">
        <v>771</v>
      </c>
      <c r="O78" s="196" t="s">
        <v>771</v>
      </c>
      <c r="P78" s="196" t="s">
        <v>771</v>
      </c>
      <c r="Q78" s="171" t="s">
        <v>769</v>
      </c>
      <c r="R78" s="171" t="s">
        <v>711</v>
      </c>
      <c r="S78" s="196" t="s">
        <v>771</v>
      </c>
      <c r="T78" s="196" t="s">
        <v>771</v>
      </c>
      <c r="U78" s="196" t="s">
        <v>771</v>
      </c>
      <c r="V78" s="196" t="s">
        <v>771</v>
      </c>
      <c r="W78" s="171" t="s">
        <v>709</v>
      </c>
      <c r="X78" s="196" t="s">
        <v>771</v>
      </c>
      <c r="Y78" s="196" t="s">
        <v>771</v>
      </c>
      <c r="Z78" s="196" t="s">
        <v>771</v>
      </c>
      <c r="AA78" s="196" t="s">
        <v>771</v>
      </c>
      <c r="AB78" s="196" t="s">
        <v>771</v>
      </c>
      <c r="AC78" s="196" t="s">
        <v>771</v>
      </c>
      <c r="AJ78" s="171" t="s">
        <v>691</v>
      </c>
      <c r="AK78" s="171" t="s">
        <v>853</v>
      </c>
    </row>
    <row r="79" spans="2:37" x14ac:dyDescent="0.25">
      <c r="B79" s="171" t="s">
        <v>160</v>
      </c>
      <c r="C79" s="171" t="s">
        <v>130</v>
      </c>
      <c r="E79" s="238" t="s">
        <v>657</v>
      </c>
      <c r="F79" s="171" t="s">
        <v>638</v>
      </c>
      <c r="G79" s="238" t="s">
        <v>579</v>
      </c>
      <c r="H79" s="171" t="s">
        <v>219</v>
      </c>
      <c r="I79" s="238" t="s">
        <v>407</v>
      </c>
      <c r="J79" s="171" t="s">
        <v>222</v>
      </c>
      <c r="K79" s="196" t="s">
        <v>771</v>
      </c>
      <c r="L79" s="196" t="s">
        <v>771</v>
      </c>
      <c r="M79" s="196" t="s">
        <v>771</v>
      </c>
      <c r="N79" s="196" t="s">
        <v>771</v>
      </c>
      <c r="O79" s="196" t="s">
        <v>771</v>
      </c>
      <c r="P79" s="196" t="s">
        <v>771</v>
      </c>
      <c r="Q79" s="171" t="s">
        <v>769</v>
      </c>
      <c r="R79" s="171" t="s">
        <v>711</v>
      </c>
      <c r="S79" s="196" t="s">
        <v>771</v>
      </c>
      <c r="T79" s="196" t="s">
        <v>771</v>
      </c>
      <c r="U79" s="196" t="s">
        <v>771</v>
      </c>
      <c r="V79" s="196" t="s">
        <v>771</v>
      </c>
      <c r="W79" s="171" t="s">
        <v>709</v>
      </c>
      <c r="X79" s="196" t="s">
        <v>771</v>
      </c>
      <c r="Y79" s="196" t="s">
        <v>771</v>
      </c>
      <c r="Z79" s="196" t="s">
        <v>771</v>
      </c>
      <c r="AA79" s="196" t="s">
        <v>771</v>
      </c>
      <c r="AB79" s="196" t="s">
        <v>771</v>
      </c>
      <c r="AC79" s="196" t="s">
        <v>771</v>
      </c>
      <c r="AJ79" s="171" t="s">
        <v>722</v>
      </c>
      <c r="AK79" s="171" t="s">
        <v>854</v>
      </c>
    </row>
    <row r="80" spans="2:37" x14ac:dyDescent="0.25">
      <c r="B80" s="171" t="s">
        <v>120</v>
      </c>
      <c r="C80" s="171" t="s">
        <v>187</v>
      </c>
      <c r="E80" s="238" t="s">
        <v>657</v>
      </c>
      <c r="F80" s="171" t="s">
        <v>638</v>
      </c>
      <c r="G80" s="238" t="s">
        <v>579</v>
      </c>
      <c r="H80" s="171" t="s">
        <v>219</v>
      </c>
      <c r="I80" s="238" t="s">
        <v>408</v>
      </c>
      <c r="J80" s="171" t="s">
        <v>223</v>
      </c>
      <c r="K80" s="196" t="s">
        <v>771</v>
      </c>
      <c r="L80" s="196" t="s">
        <v>771</v>
      </c>
      <c r="M80" s="196" t="s">
        <v>771</v>
      </c>
      <c r="N80" s="196" t="s">
        <v>771</v>
      </c>
      <c r="O80" s="196" t="s">
        <v>771</v>
      </c>
      <c r="P80" s="196" t="s">
        <v>771</v>
      </c>
      <c r="Q80" s="171" t="s">
        <v>769</v>
      </c>
      <c r="R80" s="171" t="s">
        <v>711</v>
      </c>
      <c r="S80" s="196" t="s">
        <v>771</v>
      </c>
      <c r="T80" s="196" t="s">
        <v>771</v>
      </c>
      <c r="U80" s="196" t="s">
        <v>771</v>
      </c>
      <c r="V80" s="196" t="s">
        <v>771</v>
      </c>
      <c r="W80" s="171" t="s">
        <v>709</v>
      </c>
      <c r="X80" s="196" t="s">
        <v>771</v>
      </c>
      <c r="Y80" s="196" t="s">
        <v>771</v>
      </c>
      <c r="Z80" s="196" t="s">
        <v>771</v>
      </c>
      <c r="AA80" s="196" t="s">
        <v>771</v>
      </c>
      <c r="AB80" s="196" t="s">
        <v>771</v>
      </c>
      <c r="AC80" s="196" t="s">
        <v>771</v>
      </c>
      <c r="AJ80" s="171" t="s">
        <v>754</v>
      </c>
      <c r="AK80" s="171" t="s">
        <v>855</v>
      </c>
    </row>
    <row r="81" spans="2:37" x14ac:dyDescent="0.25">
      <c r="B81" s="171" t="s">
        <v>324</v>
      </c>
      <c r="C81" s="171" t="s">
        <v>195</v>
      </c>
      <c r="E81" s="238" t="s">
        <v>657</v>
      </c>
      <c r="F81" s="171" t="s">
        <v>638</v>
      </c>
      <c r="G81" s="238" t="s">
        <v>579</v>
      </c>
      <c r="H81" s="171" t="s">
        <v>219</v>
      </c>
      <c r="I81" s="238" t="s">
        <v>409</v>
      </c>
      <c r="J81" s="171" t="s">
        <v>224</v>
      </c>
      <c r="K81" s="196" t="s">
        <v>771</v>
      </c>
      <c r="L81" s="196" t="s">
        <v>771</v>
      </c>
      <c r="M81" s="196" t="s">
        <v>771</v>
      </c>
      <c r="N81" s="196" t="s">
        <v>771</v>
      </c>
      <c r="O81" s="196" t="s">
        <v>771</v>
      </c>
      <c r="P81" s="196" t="s">
        <v>771</v>
      </c>
      <c r="Q81" s="171" t="s">
        <v>769</v>
      </c>
      <c r="R81" s="171" t="s">
        <v>711</v>
      </c>
      <c r="S81" s="196" t="s">
        <v>771</v>
      </c>
      <c r="T81" s="196" t="s">
        <v>771</v>
      </c>
      <c r="U81" s="196" t="s">
        <v>771</v>
      </c>
      <c r="V81" s="196" t="s">
        <v>771</v>
      </c>
      <c r="W81" s="171" t="s">
        <v>709</v>
      </c>
      <c r="X81" s="196" t="s">
        <v>771</v>
      </c>
      <c r="Y81" s="196" t="s">
        <v>771</v>
      </c>
      <c r="Z81" s="196" t="s">
        <v>771</v>
      </c>
      <c r="AA81" s="196" t="s">
        <v>771</v>
      </c>
      <c r="AB81" s="196" t="s">
        <v>771</v>
      </c>
      <c r="AC81" s="196" t="s">
        <v>771</v>
      </c>
      <c r="AJ81" s="171" t="s">
        <v>920</v>
      </c>
      <c r="AK81" s="171" t="s">
        <v>921</v>
      </c>
    </row>
    <row r="82" spans="2:37" x14ac:dyDescent="0.25">
      <c r="B82" s="171" t="s">
        <v>231</v>
      </c>
      <c r="C82" s="171" t="s">
        <v>173</v>
      </c>
      <c r="E82" s="238" t="s">
        <v>657</v>
      </c>
      <c r="F82" s="171" t="s">
        <v>638</v>
      </c>
      <c r="G82" s="238" t="s">
        <v>579</v>
      </c>
      <c r="H82" s="171" t="s">
        <v>219</v>
      </c>
      <c r="I82" s="238" t="s">
        <v>410</v>
      </c>
      <c r="J82" s="171" t="s">
        <v>225</v>
      </c>
      <c r="K82" s="196" t="s">
        <v>771</v>
      </c>
      <c r="L82" s="196" t="s">
        <v>771</v>
      </c>
      <c r="M82" s="196" t="s">
        <v>771</v>
      </c>
      <c r="N82" s="196" t="s">
        <v>771</v>
      </c>
      <c r="O82" s="196" t="s">
        <v>771</v>
      </c>
      <c r="P82" s="196" t="s">
        <v>771</v>
      </c>
      <c r="Q82" s="171" t="s">
        <v>769</v>
      </c>
      <c r="R82" s="171" t="s">
        <v>711</v>
      </c>
      <c r="S82" s="196" t="s">
        <v>771</v>
      </c>
      <c r="T82" s="196" t="s">
        <v>771</v>
      </c>
      <c r="U82" s="196" t="s">
        <v>771</v>
      </c>
      <c r="V82" s="196" t="s">
        <v>771</v>
      </c>
      <c r="W82" s="171" t="s">
        <v>709</v>
      </c>
      <c r="X82" s="196" t="s">
        <v>771</v>
      </c>
      <c r="Y82" s="196" t="s">
        <v>771</v>
      </c>
      <c r="Z82" s="196" t="s">
        <v>771</v>
      </c>
      <c r="AA82" s="196" t="s">
        <v>771</v>
      </c>
      <c r="AB82" s="196" t="s">
        <v>771</v>
      </c>
      <c r="AC82" s="196" t="s">
        <v>771</v>
      </c>
      <c r="AJ82" s="171" t="s">
        <v>955</v>
      </c>
      <c r="AK82" s="171" t="s">
        <v>957</v>
      </c>
    </row>
    <row r="83" spans="2:37" x14ac:dyDescent="0.25">
      <c r="B83" s="171" t="s">
        <v>309</v>
      </c>
      <c r="C83" s="171" t="s">
        <v>181</v>
      </c>
      <c r="E83" s="238" t="s">
        <v>657</v>
      </c>
      <c r="F83" s="171" t="s">
        <v>638</v>
      </c>
      <c r="G83" s="238" t="s">
        <v>579</v>
      </c>
      <c r="H83" s="171" t="s">
        <v>219</v>
      </c>
      <c r="I83" s="238" t="s">
        <v>411</v>
      </c>
      <c r="J83" s="171" t="s">
        <v>226</v>
      </c>
      <c r="K83" s="196" t="s">
        <v>771</v>
      </c>
      <c r="L83" s="196" t="s">
        <v>771</v>
      </c>
      <c r="M83" s="196" t="s">
        <v>771</v>
      </c>
      <c r="N83" s="196" t="s">
        <v>771</v>
      </c>
      <c r="O83" s="196" t="s">
        <v>771</v>
      </c>
      <c r="P83" s="196" t="s">
        <v>771</v>
      </c>
      <c r="Q83" s="171" t="s">
        <v>769</v>
      </c>
      <c r="R83" s="171" t="s">
        <v>711</v>
      </c>
      <c r="S83" s="196" t="s">
        <v>771</v>
      </c>
      <c r="T83" s="196" t="s">
        <v>771</v>
      </c>
      <c r="U83" s="196" t="s">
        <v>771</v>
      </c>
      <c r="V83" s="196" t="s">
        <v>771</v>
      </c>
      <c r="W83" s="171" t="s">
        <v>709</v>
      </c>
      <c r="X83" s="196" t="s">
        <v>771</v>
      </c>
      <c r="Y83" s="196" t="s">
        <v>771</v>
      </c>
      <c r="Z83" s="196" t="s">
        <v>771</v>
      </c>
      <c r="AA83" s="196" t="s">
        <v>771</v>
      </c>
      <c r="AB83" s="196" t="s">
        <v>771</v>
      </c>
      <c r="AC83" s="196" t="s">
        <v>771</v>
      </c>
      <c r="AJ83" s="171" t="s">
        <v>956</v>
      </c>
      <c r="AK83" s="171" t="s">
        <v>958</v>
      </c>
    </row>
    <row r="84" spans="2:37" x14ac:dyDescent="0.25">
      <c r="B84" s="171" t="s">
        <v>194</v>
      </c>
      <c r="C84" s="171" t="s">
        <v>167</v>
      </c>
      <c r="E84" s="238" t="s">
        <v>657</v>
      </c>
      <c r="F84" s="171" t="s">
        <v>638</v>
      </c>
      <c r="G84" s="238" t="s">
        <v>580</v>
      </c>
      <c r="H84" s="171" t="s">
        <v>227</v>
      </c>
      <c r="I84" s="238" t="s">
        <v>412</v>
      </c>
      <c r="J84" s="171" t="s">
        <v>228</v>
      </c>
      <c r="K84" s="196" t="s">
        <v>771</v>
      </c>
      <c r="L84" s="196" t="s">
        <v>771</v>
      </c>
      <c r="M84" s="196" t="s">
        <v>771</v>
      </c>
      <c r="N84" s="196" t="s">
        <v>771</v>
      </c>
      <c r="O84" s="196" t="s">
        <v>771</v>
      </c>
      <c r="P84" s="196" t="s">
        <v>771</v>
      </c>
      <c r="Q84" s="171" t="s">
        <v>769</v>
      </c>
      <c r="R84" s="171" t="s">
        <v>714</v>
      </c>
      <c r="S84" s="171" t="s">
        <v>769</v>
      </c>
      <c r="T84" s="171" t="s">
        <v>713</v>
      </c>
      <c r="U84" s="196" t="s">
        <v>771</v>
      </c>
      <c r="V84" s="196" t="s">
        <v>771</v>
      </c>
      <c r="W84" s="171" t="s">
        <v>709</v>
      </c>
      <c r="X84" s="196" t="s">
        <v>771</v>
      </c>
      <c r="Y84" s="196" t="s">
        <v>771</v>
      </c>
      <c r="Z84" s="196" t="s">
        <v>771</v>
      </c>
      <c r="AA84" s="196" t="s">
        <v>771</v>
      </c>
      <c r="AB84" s="196" t="s">
        <v>771</v>
      </c>
      <c r="AC84" s="196" t="s">
        <v>771</v>
      </c>
      <c r="AJ84" s="171" t="s">
        <v>990</v>
      </c>
      <c r="AK84" s="171" t="s">
        <v>994</v>
      </c>
    </row>
    <row r="85" spans="2:37" x14ac:dyDescent="0.25">
      <c r="B85" s="171" t="s">
        <v>196</v>
      </c>
      <c r="C85" s="171" t="s">
        <v>185</v>
      </c>
      <c r="E85" s="238" t="s">
        <v>659</v>
      </c>
      <c r="F85" s="171" t="s">
        <v>639</v>
      </c>
      <c r="G85" s="238" t="s">
        <v>588</v>
      </c>
      <c r="H85" s="171" t="s">
        <v>242</v>
      </c>
      <c r="I85" s="238" t="s">
        <v>430</v>
      </c>
      <c r="J85" s="171" t="s">
        <v>243</v>
      </c>
      <c r="K85" s="196" t="s">
        <v>771</v>
      </c>
      <c r="L85" s="196" t="s">
        <v>771</v>
      </c>
      <c r="M85" s="196" t="s">
        <v>771</v>
      </c>
      <c r="N85" s="196" t="s">
        <v>771</v>
      </c>
      <c r="O85" s="196" t="s">
        <v>771</v>
      </c>
      <c r="P85" s="196" t="s">
        <v>771</v>
      </c>
      <c r="Q85" s="171" t="s">
        <v>769</v>
      </c>
      <c r="R85" s="171" t="s">
        <v>721</v>
      </c>
      <c r="S85" s="171" t="s">
        <v>769</v>
      </c>
      <c r="T85" s="171" t="s">
        <v>712</v>
      </c>
      <c r="U85" s="196" t="s">
        <v>771</v>
      </c>
      <c r="V85" s="196" t="s">
        <v>771</v>
      </c>
      <c r="W85" s="196" t="s">
        <v>771</v>
      </c>
      <c r="X85" s="196" t="s">
        <v>771</v>
      </c>
      <c r="Y85" s="196" t="s">
        <v>771</v>
      </c>
      <c r="Z85" s="196" t="s">
        <v>771</v>
      </c>
      <c r="AA85" s="196" t="s">
        <v>771</v>
      </c>
      <c r="AB85" s="196" t="s">
        <v>771</v>
      </c>
      <c r="AC85" s="196" t="s">
        <v>771</v>
      </c>
      <c r="AJ85" s="171" t="s">
        <v>991</v>
      </c>
      <c r="AK85" s="171" t="s">
        <v>995</v>
      </c>
    </row>
    <row r="86" spans="2:37" x14ac:dyDescent="0.25">
      <c r="B86" s="171" t="s">
        <v>123</v>
      </c>
      <c r="C86" s="171" t="s">
        <v>177</v>
      </c>
      <c r="E86" s="238" t="s">
        <v>659</v>
      </c>
      <c r="F86" s="171" t="s">
        <v>639</v>
      </c>
      <c r="G86" s="238" t="s">
        <v>588</v>
      </c>
      <c r="H86" s="171" t="s">
        <v>242</v>
      </c>
      <c r="I86" s="238" t="s">
        <v>431</v>
      </c>
      <c r="J86" s="171" t="s">
        <v>244</v>
      </c>
      <c r="K86" s="196" t="s">
        <v>771</v>
      </c>
      <c r="L86" s="196" t="s">
        <v>771</v>
      </c>
      <c r="M86" s="196" t="s">
        <v>771</v>
      </c>
      <c r="N86" s="196" t="s">
        <v>771</v>
      </c>
      <c r="O86" s="196" t="s">
        <v>771</v>
      </c>
      <c r="P86" s="196" t="s">
        <v>771</v>
      </c>
      <c r="Q86" s="171" t="s">
        <v>769</v>
      </c>
      <c r="R86" s="171" t="s">
        <v>721</v>
      </c>
      <c r="S86" s="171" t="s">
        <v>769</v>
      </c>
      <c r="T86" s="171" t="s">
        <v>712</v>
      </c>
      <c r="U86" s="196" t="s">
        <v>771</v>
      </c>
      <c r="V86" s="196" t="s">
        <v>771</v>
      </c>
      <c r="W86" s="196" t="s">
        <v>771</v>
      </c>
      <c r="X86" s="196" t="s">
        <v>771</v>
      </c>
      <c r="Y86" s="196" t="s">
        <v>771</v>
      </c>
      <c r="Z86" s="196" t="s">
        <v>771</v>
      </c>
      <c r="AA86" s="196" t="s">
        <v>771</v>
      </c>
      <c r="AB86" s="196" t="s">
        <v>771</v>
      </c>
      <c r="AC86" s="196" t="s">
        <v>771</v>
      </c>
      <c r="AJ86" s="171" t="s">
        <v>992</v>
      </c>
      <c r="AK86" s="171" t="s">
        <v>996</v>
      </c>
    </row>
    <row r="87" spans="2:37" x14ac:dyDescent="0.25">
      <c r="B87" s="171" t="s">
        <v>202</v>
      </c>
      <c r="C87" s="171" t="s">
        <v>249</v>
      </c>
      <c r="E87" s="238" t="s">
        <v>659</v>
      </c>
      <c r="F87" s="171" t="s">
        <v>639</v>
      </c>
      <c r="G87" s="238" t="s">
        <v>588</v>
      </c>
      <c r="H87" s="171" t="s">
        <v>242</v>
      </c>
      <c r="I87" s="238" t="s">
        <v>432</v>
      </c>
      <c r="J87" s="171" t="s">
        <v>245</v>
      </c>
      <c r="K87" s="196" t="s">
        <v>771</v>
      </c>
      <c r="L87" s="196" t="s">
        <v>771</v>
      </c>
      <c r="M87" s="196" t="s">
        <v>771</v>
      </c>
      <c r="N87" s="196" t="s">
        <v>771</v>
      </c>
      <c r="O87" s="196" t="s">
        <v>771</v>
      </c>
      <c r="P87" s="196" t="s">
        <v>771</v>
      </c>
      <c r="Q87" s="171" t="s">
        <v>769</v>
      </c>
      <c r="R87" s="171" t="s">
        <v>721</v>
      </c>
      <c r="S87" s="171" t="s">
        <v>769</v>
      </c>
      <c r="T87" s="171" t="s">
        <v>712</v>
      </c>
      <c r="U87" s="196" t="s">
        <v>771</v>
      </c>
      <c r="V87" s="196" t="s">
        <v>771</v>
      </c>
      <c r="W87" s="196" t="s">
        <v>771</v>
      </c>
      <c r="X87" s="196" t="s">
        <v>771</v>
      </c>
      <c r="Y87" s="196" t="s">
        <v>771</v>
      </c>
      <c r="Z87" s="196" t="s">
        <v>771</v>
      </c>
      <c r="AA87" s="196" t="s">
        <v>771</v>
      </c>
      <c r="AB87" s="196" t="s">
        <v>771</v>
      </c>
      <c r="AC87" s="196" t="s">
        <v>771</v>
      </c>
      <c r="AJ87" s="171" t="s">
        <v>993</v>
      </c>
      <c r="AK87" s="171" t="s">
        <v>997</v>
      </c>
    </row>
    <row r="88" spans="2:37" x14ac:dyDescent="0.25">
      <c r="B88" s="171" t="s">
        <v>227</v>
      </c>
      <c r="C88" s="171" t="s">
        <v>205</v>
      </c>
      <c r="E88" s="238" t="s">
        <v>659</v>
      </c>
      <c r="F88" s="171" t="s">
        <v>639</v>
      </c>
      <c r="G88" s="238" t="s">
        <v>588</v>
      </c>
      <c r="H88" s="171" t="s">
        <v>242</v>
      </c>
      <c r="I88" s="238" t="s">
        <v>433</v>
      </c>
      <c r="J88" s="171" t="s">
        <v>246</v>
      </c>
      <c r="K88" s="196" t="s">
        <v>771</v>
      </c>
      <c r="L88" s="196" t="s">
        <v>771</v>
      </c>
      <c r="M88" s="196" t="s">
        <v>771</v>
      </c>
      <c r="N88" s="196" t="s">
        <v>771</v>
      </c>
      <c r="O88" s="196" t="s">
        <v>771</v>
      </c>
      <c r="P88" s="196" t="s">
        <v>771</v>
      </c>
      <c r="Q88" s="171" t="s">
        <v>769</v>
      </c>
      <c r="R88" s="171" t="s">
        <v>721</v>
      </c>
      <c r="S88" s="171" t="s">
        <v>769</v>
      </c>
      <c r="T88" s="171" t="s">
        <v>712</v>
      </c>
      <c r="U88" s="196" t="s">
        <v>771</v>
      </c>
      <c r="V88" s="196" t="s">
        <v>771</v>
      </c>
      <c r="W88" s="196" t="s">
        <v>771</v>
      </c>
      <c r="X88" s="196" t="s">
        <v>771</v>
      </c>
      <c r="Y88" s="196" t="s">
        <v>771</v>
      </c>
      <c r="Z88" s="196" t="s">
        <v>771</v>
      </c>
      <c r="AA88" s="196" t="s">
        <v>771</v>
      </c>
      <c r="AB88" s="196" t="s">
        <v>771</v>
      </c>
      <c r="AC88" s="196" t="s">
        <v>771</v>
      </c>
      <c r="AJ88" s="171" t="s">
        <v>704</v>
      </c>
      <c r="AK88" s="171" t="s">
        <v>856</v>
      </c>
    </row>
    <row r="89" spans="2:37" x14ac:dyDescent="0.25">
      <c r="B89" s="171" t="s">
        <v>232</v>
      </c>
      <c r="C89" s="171" t="s">
        <v>138</v>
      </c>
      <c r="E89" s="238" t="s">
        <v>659</v>
      </c>
      <c r="F89" s="171" t="s">
        <v>639</v>
      </c>
      <c r="G89" s="238" t="s">
        <v>588</v>
      </c>
      <c r="H89" s="171" t="s">
        <v>242</v>
      </c>
      <c r="I89" s="238" t="s">
        <v>434</v>
      </c>
      <c r="J89" s="171" t="s">
        <v>247</v>
      </c>
      <c r="K89" s="196" t="s">
        <v>771</v>
      </c>
      <c r="L89" s="196" t="s">
        <v>771</v>
      </c>
      <c r="M89" s="196" t="s">
        <v>771</v>
      </c>
      <c r="N89" s="196" t="s">
        <v>771</v>
      </c>
      <c r="O89" s="196" t="s">
        <v>771</v>
      </c>
      <c r="P89" s="196" t="s">
        <v>771</v>
      </c>
      <c r="Q89" s="171" t="s">
        <v>769</v>
      </c>
      <c r="R89" s="171" t="s">
        <v>721</v>
      </c>
      <c r="S89" s="171" t="s">
        <v>769</v>
      </c>
      <c r="T89" s="171" t="s">
        <v>712</v>
      </c>
      <c r="U89" s="196" t="s">
        <v>771</v>
      </c>
      <c r="V89" s="196" t="s">
        <v>771</v>
      </c>
      <c r="W89" s="196" t="s">
        <v>771</v>
      </c>
      <c r="X89" s="196" t="s">
        <v>771</v>
      </c>
      <c r="Y89" s="196" t="s">
        <v>771</v>
      </c>
      <c r="Z89" s="196" t="s">
        <v>771</v>
      </c>
      <c r="AA89" s="196" t="s">
        <v>771</v>
      </c>
      <c r="AB89" s="196" t="s">
        <v>771</v>
      </c>
      <c r="AC89" s="196" t="s">
        <v>771</v>
      </c>
      <c r="AJ89" s="171" t="s">
        <v>981</v>
      </c>
      <c r="AK89" s="171" t="s">
        <v>1003</v>
      </c>
    </row>
    <row r="90" spans="2:37" x14ac:dyDescent="0.25">
      <c r="B90" s="171" t="s">
        <v>146</v>
      </c>
      <c r="C90" s="171" t="s">
        <v>212</v>
      </c>
      <c r="E90" s="238" t="s">
        <v>659</v>
      </c>
      <c r="F90" s="171" t="s">
        <v>639</v>
      </c>
      <c r="G90" s="238" t="s">
        <v>588</v>
      </c>
      <c r="H90" s="171" t="s">
        <v>242</v>
      </c>
      <c r="I90" s="238" t="s">
        <v>435</v>
      </c>
      <c r="J90" s="171" t="s">
        <v>248</v>
      </c>
      <c r="K90" s="196" t="s">
        <v>771</v>
      </c>
      <c r="L90" s="196" t="s">
        <v>771</v>
      </c>
      <c r="M90" s="196" t="s">
        <v>771</v>
      </c>
      <c r="N90" s="196" t="s">
        <v>771</v>
      </c>
      <c r="O90" s="196" t="s">
        <v>771</v>
      </c>
      <c r="P90" s="196" t="s">
        <v>771</v>
      </c>
      <c r="Q90" s="171" t="s">
        <v>769</v>
      </c>
      <c r="R90" s="171" t="s">
        <v>721</v>
      </c>
      <c r="S90" s="171" t="s">
        <v>769</v>
      </c>
      <c r="T90" s="171" t="s">
        <v>712</v>
      </c>
      <c r="U90" s="196" t="s">
        <v>771</v>
      </c>
      <c r="V90" s="196" t="s">
        <v>771</v>
      </c>
      <c r="W90" s="196" t="s">
        <v>771</v>
      </c>
      <c r="X90" s="196" t="s">
        <v>771</v>
      </c>
      <c r="Y90" s="196" t="s">
        <v>771</v>
      </c>
      <c r="Z90" s="196" t="s">
        <v>771</v>
      </c>
      <c r="AA90" s="196" t="s">
        <v>771</v>
      </c>
      <c r="AB90" s="196" t="s">
        <v>771</v>
      </c>
      <c r="AC90" s="196" t="s">
        <v>771</v>
      </c>
      <c r="AJ90" s="171" t="s">
        <v>1005</v>
      </c>
      <c r="AK90" s="171" t="s">
        <v>799</v>
      </c>
    </row>
    <row r="91" spans="2:37" x14ac:dyDescent="0.25">
      <c r="B91" s="171" t="s">
        <v>149</v>
      </c>
      <c r="C91" s="171" t="s">
        <v>328</v>
      </c>
      <c r="E91" s="238" t="s">
        <v>659</v>
      </c>
      <c r="F91" s="171" t="s">
        <v>639</v>
      </c>
      <c r="G91" s="238" t="s">
        <v>588</v>
      </c>
      <c r="H91" s="171" t="s">
        <v>242</v>
      </c>
      <c r="I91" s="238" t="s">
        <v>436</v>
      </c>
      <c r="J91" s="171" t="s">
        <v>249</v>
      </c>
      <c r="K91" s="196" t="s">
        <v>771</v>
      </c>
      <c r="L91" s="196" t="s">
        <v>771</v>
      </c>
      <c r="M91" s="196" t="s">
        <v>771</v>
      </c>
      <c r="N91" s="196" t="s">
        <v>771</v>
      </c>
      <c r="O91" s="196" t="s">
        <v>771</v>
      </c>
      <c r="P91" s="196" t="s">
        <v>771</v>
      </c>
      <c r="Q91" s="171" t="s">
        <v>769</v>
      </c>
      <c r="R91" s="171" t="s">
        <v>721</v>
      </c>
      <c r="S91" s="171" t="s">
        <v>769</v>
      </c>
      <c r="T91" s="171" t="s">
        <v>712</v>
      </c>
      <c r="U91" s="196" t="s">
        <v>771</v>
      </c>
      <c r="V91" s="196" t="s">
        <v>771</v>
      </c>
      <c r="W91" s="196" t="s">
        <v>771</v>
      </c>
      <c r="X91" s="196" t="s">
        <v>771</v>
      </c>
      <c r="Y91" s="196" t="s">
        <v>771</v>
      </c>
      <c r="Z91" s="196" t="s">
        <v>771</v>
      </c>
      <c r="AA91" s="196" t="s">
        <v>771</v>
      </c>
      <c r="AB91" s="196" t="s">
        <v>771</v>
      </c>
      <c r="AC91" s="196" t="s">
        <v>771</v>
      </c>
    </row>
    <row r="92" spans="2:37" x14ac:dyDescent="0.25">
      <c r="B92" s="171" t="s">
        <v>292</v>
      </c>
      <c r="C92" s="171" t="s">
        <v>201</v>
      </c>
      <c r="E92" s="238" t="s">
        <v>659</v>
      </c>
      <c r="F92" s="171" t="s">
        <v>639</v>
      </c>
      <c r="G92" s="238" t="s">
        <v>588</v>
      </c>
      <c r="H92" s="171" t="s">
        <v>242</v>
      </c>
      <c r="I92" s="238" t="s">
        <v>437</v>
      </c>
      <c r="J92" s="171" t="s">
        <v>250</v>
      </c>
      <c r="K92" s="196" t="s">
        <v>771</v>
      </c>
      <c r="L92" s="196" t="s">
        <v>771</v>
      </c>
      <c r="M92" s="196" t="s">
        <v>771</v>
      </c>
      <c r="N92" s="196" t="s">
        <v>771</v>
      </c>
      <c r="O92" s="196" t="s">
        <v>771</v>
      </c>
      <c r="P92" s="196" t="s">
        <v>771</v>
      </c>
      <c r="Q92" s="171" t="s">
        <v>769</v>
      </c>
      <c r="R92" s="171" t="s">
        <v>721</v>
      </c>
      <c r="S92" s="171" t="s">
        <v>769</v>
      </c>
      <c r="T92" s="171" t="s">
        <v>712</v>
      </c>
      <c r="U92" s="196" t="s">
        <v>771</v>
      </c>
      <c r="V92" s="196" t="s">
        <v>771</v>
      </c>
      <c r="W92" s="196" t="s">
        <v>771</v>
      </c>
      <c r="X92" s="196" t="s">
        <v>771</v>
      </c>
      <c r="Y92" s="196" t="s">
        <v>771</v>
      </c>
      <c r="Z92" s="196" t="s">
        <v>771</v>
      </c>
      <c r="AA92" s="196" t="s">
        <v>771</v>
      </c>
      <c r="AB92" s="196" t="s">
        <v>771</v>
      </c>
      <c r="AC92" s="196" t="s">
        <v>771</v>
      </c>
    </row>
    <row r="93" spans="2:37" x14ac:dyDescent="0.25">
      <c r="B93" s="171" t="s">
        <v>953</v>
      </c>
      <c r="C93" s="171" t="s">
        <v>214</v>
      </c>
      <c r="E93" s="238" t="s">
        <v>659</v>
      </c>
      <c r="F93" s="171" t="s">
        <v>639</v>
      </c>
      <c r="G93" s="238" t="s">
        <v>588</v>
      </c>
      <c r="H93" s="171" t="s">
        <v>242</v>
      </c>
      <c r="I93" s="238" t="s">
        <v>438</v>
      </c>
      <c r="J93" s="171" t="s">
        <v>251</v>
      </c>
      <c r="K93" s="196" t="s">
        <v>771</v>
      </c>
      <c r="L93" s="196" t="s">
        <v>771</v>
      </c>
      <c r="M93" s="196" t="s">
        <v>771</v>
      </c>
      <c r="N93" s="196" t="s">
        <v>771</v>
      </c>
      <c r="O93" s="196" t="s">
        <v>771</v>
      </c>
      <c r="P93" s="196" t="s">
        <v>771</v>
      </c>
      <c r="Q93" s="171" t="s">
        <v>769</v>
      </c>
      <c r="R93" s="171" t="s">
        <v>721</v>
      </c>
      <c r="S93" s="171" t="s">
        <v>769</v>
      </c>
      <c r="T93" s="171" t="s">
        <v>712</v>
      </c>
      <c r="U93" s="196" t="s">
        <v>771</v>
      </c>
      <c r="V93" s="196" t="s">
        <v>771</v>
      </c>
      <c r="W93" s="196" t="s">
        <v>771</v>
      </c>
      <c r="X93" s="196" t="s">
        <v>771</v>
      </c>
      <c r="Y93" s="196" t="s">
        <v>771</v>
      </c>
      <c r="Z93" s="196" t="s">
        <v>771</v>
      </c>
      <c r="AA93" s="196" t="s">
        <v>771</v>
      </c>
      <c r="AB93" s="196" t="s">
        <v>771</v>
      </c>
      <c r="AC93" s="196" t="s">
        <v>771</v>
      </c>
    </row>
    <row r="94" spans="2:37" x14ac:dyDescent="0.25">
      <c r="B94" s="171" t="s">
        <v>219</v>
      </c>
      <c r="C94" s="171" t="s">
        <v>198</v>
      </c>
      <c r="E94" s="238" t="s">
        <v>659</v>
      </c>
      <c r="F94" s="171" t="s">
        <v>639</v>
      </c>
      <c r="G94" s="238" t="s">
        <v>588</v>
      </c>
      <c r="H94" s="171" t="s">
        <v>242</v>
      </c>
      <c r="I94" s="238" t="s">
        <v>439</v>
      </c>
      <c r="J94" s="171" t="s">
        <v>252</v>
      </c>
      <c r="K94" s="196" t="s">
        <v>771</v>
      </c>
      <c r="L94" s="196" t="s">
        <v>771</v>
      </c>
      <c r="M94" s="196" t="s">
        <v>771</v>
      </c>
      <c r="N94" s="196" t="s">
        <v>771</v>
      </c>
      <c r="O94" s="196" t="s">
        <v>771</v>
      </c>
      <c r="P94" s="196" t="s">
        <v>771</v>
      </c>
      <c r="Q94" s="171" t="s">
        <v>769</v>
      </c>
      <c r="R94" s="171" t="s">
        <v>721</v>
      </c>
      <c r="S94" s="171" t="s">
        <v>769</v>
      </c>
      <c r="T94" s="171" t="s">
        <v>712</v>
      </c>
      <c r="U94" s="196" t="s">
        <v>771</v>
      </c>
      <c r="V94" s="196" t="s">
        <v>771</v>
      </c>
      <c r="W94" s="196" t="s">
        <v>771</v>
      </c>
      <c r="X94" s="196" t="s">
        <v>771</v>
      </c>
      <c r="Y94" s="196" t="s">
        <v>771</v>
      </c>
      <c r="Z94" s="196" t="s">
        <v>771</v>
      </c>
      <c r="AA94" s="196" t="s">
        <v>771</v>
      </c>
      <c r="AB94" s="196" t="s">
        <v>771</v>
      </c>
      <c r="AC94" s="196" t="s">
        <v>771</v>
      </c>
    </row>
    <row r="95" spans="2:37" x14ac:dyDescent="0.25">
      <c r="B95" s="171" t="s">
        <v>293</v>
      </c>
      <c r="C95" s="171" t="s">
        <v>284</v>
      </c>
      <c r="E95" s="238" t="s">
        <v>659</v>
      </c>
      <c r="F95" s="171" t="s">
        <v>639</v>
      </c>
      <c r="G95" s="238" t="s">
        <v>588</v>
      </c>
      <c r="H95" s="171" t="s">
        <v>242</v>
      </c>
      <c r="I95" s="238" t="s">
        <v>440</v>
      </c>
      <c r="J95" s="171" t="s">
        <v>253</v>
      </c>
      <c r="K95" s="196" t="s">
        <v>771</v>
      </c>
      <c r="L95" s="196" t="s">
        <v>771</v>
      </c>
      <c r="M95" s="196" t="s">
        <v>771</v>
      </c>
      <c r="N95" s="196" t="s">
        <v>771</v>
      </c>
      <c r="O95" s="196" t="s">
        <v>771</v>
      </c>
      <c r="P95" s="196" t="s">
        <v>771</v>
      </c>
      <c r="Q95" s="171" t="s">
        <v>769</v>
      </c>
      <c r="R95" s="171" t="s">
        <v>721</v>
      </c>
      <c r="S95" s="171" t="s">
        <v>769</v>
      </c>
      <c r="T95" s="171" t="s">
        <v>712</v>
      </c>
      <c r="U95" s="196" t="s">
        <v>771</v>
      </c>
      <c r="V95" s="196" t="s">
        <v>771</v>
      </c>
      <c r="W95" s="196" t="s">
        <v>771</v>
      </c>
      <c r="X95" s="196" t="s">
        <v>771</v>
      </c>
      <c r="Y95" s="196" t="s">
        <v>771</v>
      </c>
      <c r="Z95" s="196" t="s">
        <v>771</v>
      </c>
      <c r="AA95" s="196" t="s">
        <v>771</v>
      </c>
      <c r="AB95" s="196" t="s">
        <v>771</v>
      </c>
      <c r="AC95" s="196" t="s">
        <v>771</v>
      </c>
    </row>
    <row r="96" spans="2:37" x14ac:dyDescent="0.25">
      <c r="B96" s="171" t="s">
        <v>333</v>
      </c>
      <c r="C96" s="171" t="s">
        <v>215</v>
      </c>
      <c r="E96" s="238" t="s">
        <v>659</v>
      </c>
      <c r="F96" s="171" t="s">
        <v>639</v>
      </c>
      <c r="G96" s="238" t="s">
        <v>588</v>
      </c>
      <c r="H96" s="171" t="s">
        <v>242</v>
      </c>
      <c r="I96" s="238" t="s">
        <v>441</v>
      </c>
      <c r="J96" s="171" t="s">
        <v>254</v>
      </c>
      <c r="K96" s="196" t="s">
        <v>771</v>
      </c>
      <c r="L96" s="196" t="s">
        <v>771</v>
      </c>
      <c r="M96" s="196" t="s">
        <v>771</v>
      </c>
      <c r="N96" s="196" t="s">
        <v>771</v>
      </c>
      <c r="O96" s="196" t="s">
        <v>771</v>
      </c>
      <c r="P96" s="196" t="s">
        <v>771</v>
      </c>
      <c r="Q96" s="171" t="s">
        <v>769</v>
      </c>
      <c r="R96" s="171" t="s">
        <v>721</v>
      </c>
      <c r="S96" s="171" t="s">
        <v>769</v>
      </c>
      <c r="T96" s="171" t="s">
        <v>712</v>
      </c>
      <c r="U96" s="196" t="s">
        <v>771</v>
      </c>
      <c r="V96" s="196" t="s">
        <v>771</v>
      </c>
      <c r="W96" s="196" t="s">
        <v>771</v>
      </c>
      <c r="X96" s="196" t="s">
        <v>771</v>
      </c>
      <c r="Y96" s="196" t="s">
        <v>771</v>
      </c>
      <c r="Z96" s="196" t="s">
        <v>771</v>
      </c>
      <c r="AA96" s="196" t="s">
        <v>771</v>
      </c>
      <c r="AB96" s="196" t="s">
        <v>771</v>
      </c>
      <c r="AC96" s="196" t="s">
        <v>771</v>
      </c>
    </row>
    <row r="97" spans="2:29" x14ac:dyDescent="0.25">
      <c r="B97" s="171" t="s">
        <v>159</v>
      </c>
      <c r="C97" s="171" t="s">
        <v>157</v>
      </c>
      <c r="E97" s="238" t="s">
        <v>659</v>
      </c>
      <c r="F97" s="171" t="s">
        <v>639</v>
      </c>
      <c r="G97" s="238" t="s">
        <v>588</v>
      </c>
      <c r="H97" s="171" t="s">
        <v>242</v>
      </c>
      <c r="I97" s="238" t="s">
        <v>442</v>
      </c>
      <c r="J97" s="171" t="s">
        <v>255</v>
      </c>
      <c r="K97" s="196" t="s">
        <v>771</v>
      </c>
      <c r="L97" s="196" t="s">
        <v>771</v>
      </c>
      <c r="M97" s="196" t="s">
        <v>771</v>
      </c>
      <c r="N97" s="196" t="s">
        <v>771</v>
      </c>
      <c r="O97" s="196" t="s">
        <v>771</v>
      </c>
      <c r="P97" s="196" t="s">
        <v>771</v>
      </c>
      <c r="Q97" s="171" t="s">
        <v>769</v>
      </c>
      <c r="R97" s="171" t="s">
        <v>721</v>
      </c>
      <c r="S97" s="171" t="s">
        <v>769</v>
      </c>
      <c r="T97" s="171" t="s">
        <v>712</v>
      </c>
      <c r="U97" s="196" t="s">
        <v>771</v>
      </c>
      <c r="V97" s="196" t="s">
        <v>771</v>
      </c>
      <c r="W97" s="196" t="s">
        <v>771</v>
      </c>
      <c r="X97" s="196" t="s">
        <v>771</v>
      </c>
      <c r="Y97" s="196" t="s">
        <v>771</v>
      </c>
      <c r="Z97" s="196" t="s">
        <v>771</v>
      </c>
      <c r="AA97" s="196" t="s">
        <v>771</v>
      </c>
      <c r="AB97" s="196" t="s">
        <v>771</v>
      </c>
      <c r="AC97" s="196" t="s">
        <v>771</v>
      </c>
    </row>
    <row r="98" spans="2:29" x14ac:dyDescent="0.25">
      <c r="B98" s="171" t="s">
        <v>233</v>
      </c>
      <c r="C98" s="171" t="s">
        <v>148</v>
      </c>
      <c r="E98" s="238" t="s">
        <v>659</v>
      </c>
      <c r="F98" s="171" t="s">
        <v>639</v>
      </c>
      <c r="G98" s="238" t="s">
        <v>588</v>
      </c>
      <c r="H98" s="171" t="s">
        <v>242</v>
      </c>
      <c r="I98" s="238" t="s">
        <v>443</v>
      </c>
      <c r="J98" s="171" t="s">
        <v>256</v>
      </c>
      <c r="K98" s="196" t="s">
        <v>771</v>
      </c>
      <c r="L98" s="196" t="s">
        <v>771</v>
      </c>
      <c r="M98" s="196" t="s">
        <v>771</v>
      </c>
      <c r="N98" s="196" t="s">
        <v>771</v>
      </c>
      <c r="O98" s="196" t="s">
        <v>771</v>
      </c>
      <c r="P98" s="196" t="s">
        <v>771</v>
      </c>
      <c r="Q98" s="171" t="s">
        <v>769</v>
      </c>
      <c r="R98" s="171" t="s">
        <v>721</v>
      </c>
      <c r="S98" s="171" t="s">
        <v>769</v>
      </c>
      <c r="T98" s="171" t="s">
        <v>712</v>
      </c>
      <c r="U98" s="196" t="s">
        <v>771</v>
      </c>
      <c r="V98" s="196" t="s">
        <v>771</v>
      </c>
      <c r="W98" s="196" t="s">
        <v>771</v>
      </c>
      <c r="X98" s="196" t="s">
        <v>771</v>
      </c>
      <c r="Y98" s="196" t="s">
        <v>771</v>
      </c>
      <c r="Z98" s="196" t="s">
        <v>771</v>
      </c>
      <c r="AA98" s="196" t="s">
        <v>771</v>
      </c>
      <c r="AB98" s="196" t="s">
        <v>771</v>
      </c>
      <c r="AC98" s="196" t="s">
        <v>771</v>
      </c>
    </row>
    <row r="99" spans="2:29" x14ac:dyDescent="0.25">
      <c r="B99" s="171" t="s">
        <v>144</v>
      </c>
      <c r="C99" s="171" t="s">
        <v>329</v>
      </c>
      <c r="E99" s="238" t="s">
        <v>659</v>
      </c>
      <c r="F99" s="171" t="s">
        <v>639</v>
      </c>
      <c r="G99" s="238" t="s">
        <v>588</v>
      </c>
      <c r="H99" s="171" t="s">
        <v>242</v>
      </c>
      <c r="I99" s="238" t="s">
        <v>444</v>
      </c>
      <c r="J99" s="171" t="s">
        <v>257</v>
      </c>
      <c r="K99" s="196" t="s">
        <v>771</v>
      </c>
      <c r="L99" s="196" t="s">
        <v>771</v>
      </c>
      <c r="M99" s="196" t="s">
        <v>771</v>
      </c>
      <c r="N99" s="196" t="s">
        <v>771</v>
      </c>
      <c r="O99" s="196" t="s">
        <v>771</v>
      </c>
      <c r="P99" s="196" t="s">
        <v>771</v>
      </c>
      <c r="Q99" s="171" t="s">
        <v>769</v>
      </c>
      <c r="R99" s="171" t="s">
        <v>721</v>
      </c>
      <c r="S99" s="171" t="s">
        <v>769</v>
      </c>
      <c r="T99" s="171" t="s">
        <v>712</v>
      </c>
      <c r="U99" s="196" t="s">
        <v>771</v>
      </c>
      <c r="V99" s="196" t="s">
        <v>771</v>
      </c>
      <c r="W99" s="196" t="s">
        <v>771</v>
      </c>
      <c r="X99" s="196" t="s">
        <v>771</v>
      </c>
      <c r="Y99" s="196" t="s">
        <v>771</v>
      </c>
      <c r="Z99" s="196" t="s">
        <v>771</v>
      </c>
      <c r="AA99" s="196" t="s">
        <v>771</v>
      </c>
      <c r="AB99" s="196" t="s">
        <v>771</v>
      </c>
      <c r="AC99" s="196" t="s">
        <v>771</v>
      </c>
    </row>
    <row r="100" spans="2:29" x14ac:dyDescent="0.25">
      <c r="B100" s="171" t="s">
        <v>141</v>
      </c>
      <c r="C100" s="171" t="s">
        <v>332</v>
      </c>
      <c r="E100" s="238" t="s">
        <v>659</v>
      </c>
      <c r="F100" s="171" t="s">
        <v>639</v>
      </c>
      <c r="G100" s="238" t="s">
        <v>588</v>
      </c>
      <c r="H100" s="171" t="s">
        <v>242</v>
      </c>
      <c r="I100" s="238" t="s">
        <v>445</v>
      </c>
      <c r="J100" s="171" t="s">
        <v>258</v>
      </c>
      <c r="K100" s="196" t="s">
        <v>771</v>
      </c>
      <c r="L100" s="196" t="s">
        <v>771</v>
      </c>
      <c r="M100" s="196" t="s">
        <v>771</v>
      </c>
      <c r="N100" s="196" t="s">
        <v>771</v>
      </c>
      <c r="O100" s="196" t="s">
        <v>771</v>
      </c>
      <c r="P100" s="196" t="s">
        <v>771</v>
      </c>
      <c r="Q100" s="171" t="s">
        <v>769</v>
      </c>
      <c r="R100" s="171" t="s">
        <v>722</v>
      </c>
      <c r="S100" s="171" t="s">
        <v>769</v>
      </c>
      <c r="T100" s="171" t="s">
        <v>712</v>
      </c>
      <c r="U100" s="196" t="s">
        <v>771</v>
      </c>
      <c r="V100" s="196" t="s">
        <v>771</v>
      </c>
      <c r="W100" s="196" t="s">
        <v>771</v>
      </c>
      <c r="X100" s="196" t="s">
        <v>771</v>
      </c>
      <c r="Y100" s="196" t="s">
        <v>771</v>
      </c>
      <c r="Z100" s="196" t="s">
        <v>771</v>
      </c>
      <c r="AA100" s="196" t="s">
        <v>771</v>
      </c>
      <c r="AB100" s="196" t="s">
        <v>771</v>
      </c>
      <c r="AC100" s="196" t="s">
        <v>771</v>
      </c>
    </row>
    <row r="101" spans="2:29" x14ac:dyDescent="0.25">
      <c r="B101" s="171" t="s">
        <v>142</v>
      </c>
      <c r="C101" s="171" t="s">
        <v>969</v>
      </c>
      <c r="E101" s="238" t="s">
        <v>659</v>
      </c>
      <c r="F101" s="171" t="s">
        <v>639</v>
      </c>
      <c r="G101" s="238" t="s">
        <v>589</v>
      </c>
      <c r="H101" s="171" t="s">
        <v>259</v>
      </c>
      <c r="I101" s="238" t="s">
        <v>446</v>
      </c>
      <c r="J101" s="171" t="s">
        <v>260</v>
      </c>
      <c r="K101" s="196" t="s">
        <v>771</v>
      </c>
      <c r="L101" s="196" t="s">
        <v>771</v>
      </c>
      <c r="M101" s="196" t="s">
        <v>771</v>
      </c>
      <c r="N101" s="196" t="s">
        <v>771</v>
      </c>
      <c r="O101" s="196" t="s">
        <v>771</v>
      </c>
      <c r="P101" s="196" t="s">
        <v>771</v>
      </c>
      <c r="Q101" s="171" t="s">
        <v>769</v>
      </c>
      <c r="R101" s="171" t="s">
        <v>723</v>
      </c>
      <c r="S101" s="171" t="s">
        <v>769</v>
      </c>
      <c r="T101" s="171" t="s">
        <v>712</v>
      </c>
      <c r="U101" s="196" t="s">
        <v>771</v>
      </c>
      <c r="V101" s="196" t="s">
        <v>771</v>
      </c>
      <c r="W101" s="196" t="s">
        <v>771</v>
      </c>
      <c r="X101" s="196" t="s">
        <v>771</v>
      </c>
      <c r="Y101" s="196" t="s">
        <v>771</v>
      </c>
      <c r="Z101" s="196" t="s">
        <v>771</v>
      </c>
      <c r="AA101" s="196" t="s">
        <v>771</v>
      </c>
      <c r="AB101" s="196" t="s">
        <v>771</v>
      </c>
      <c r="AC101" s="196" t="s">
        <v>771</v>
      </c>
    </row>
    <row r="102" spans="2:29" x14ac:dyDescent="0.25">
      <c r="B102" s="171" t="s">
        <v>143</v>
      </c>
      <c r="C102" s="171" t="s">
        <v>978</v>
      </c>
      <c r="E102" s="238" t="s">
        <v>659</v>
      </c>
      <c r="F102" s="171" t="s">
        <v>639</v>
      </c>
      <c r="G102" s="238" t="s">
        <v>589</v>
      </c>
      <c r="H102" s="171" t="s">
        <v>259</v>
      </c>
      <c r="I102" s="238" t="s">
        <v>447</v>
      </c>
      <c r="J102" s="171" t="s">
        <v>261</v>
      </c>
      <c r="K102" s="196" t="s">
        <v>771</v>
      </c>
      <c r="L102" s="196" t="s">
        <v>771</v>
      </c>
      <c r="M102" s="196" t="s">
        <v>771</v>
      </c>
      <c r="N102" s="196" t="s">
        <v>771</v>
      </c>
      <c r="O102" s="196" t="s">
        <v>771</v>
      </c>
      <c r="P102" s="196" t="s">
        <v>771</v>
      </c>
      <c r="Q102" s="171" t="s">
        <v>769</v>
      </c>
      <c r="R102" s="171" t="s">
        <v>723</v>
      </c>
      <c r="S102" s="171" t="s">
        <v>769</v>
      </c>
      <c r="T102" s="171" t="s">
        <v>712</v>
      </c>
      <c r="U102" s="196" t="s">
        <v>771</v>
      </c>
      <c r="V102" s="196" t="s">
        <v>771</v>
      </c>
      <c r="W102" s="196" t="s">
        <v>771</v>
      </c>
      <c r="X102" s="196" t="s">
        <v>771</v>
      </c>
      <c r="Y102" s="196" t="s">
        <v>771</v>
      </c>
      <c r="Z102" s="196" t="s">
        <v>771</v>
      </c>
      <c r="AA102" s="196" t="s">
        <v>771</v>
      </c>
      <c r="AB102" s="196" t="s">
        <v>771</v>
      </c>
      <c r="AC102" s="196" t="s">
        <v>771</v>
      </c>
    </row>
    <row r="103" spans="2:29" x14ac:dyDescent="0.25">
      <c r="B103" s="171" t="s">
        <v>311</v>
      </c>
      <c r="C103" s="171" t="s">
        <v>971</v>
      </c>
      <c r="E103" s="238" t="s">
        <v>659</v>
      </c>
      <c r="F103" s="171" t="s">
        <v>639</v>
      </c>
      <c r="G103" s="238" t="s">
        <v>589</v>
      </c>
      <c r="H103" s="171" t="s">
        <v>259</v>
      </c>
      <c r="I103" s="238" t="s">
        <v>448</v>
      </c>
      <c r="J103" s="171" t="s">
        <v>262</v>
      </c>
      <c r="K103" s="196" t="s">
        <v>771</v>
      </c>
      <c r="L103" s="196" t="s">
        <v>771</v>
      </c>
      <c r="M103" s="196" t="s">
        <v>771</v>
      </c>
      <c r="N103" s="196" t="s">
        <v>771</v>
      </c>
      <c r="O103" s="196" t="s">
        <v>771</v>
      </c>
      <c r="P103" s="196" t="s">
        <v>771</v>
      </c>
      <c r="Q103" s="171" t="s">
        <v>769</v>
      </c>
      <c r="R103" s="171" t="s">
        <v>723</v>
      </c>
      <c r="S103" s="171" t="s">
        <v>769</v>
      </c>
      <c r="T103" s="171" t="s">
        <v>712</v>
      </c>
      <c r="U103" s="196" t="s">
        <v>771</v>
      </c>
      <c r="V103" s="196" t="s">
        <v>771</v>
      </c>
      <c r="W103" s="196" t="s">
        <v>771</v>
      </c>
      <c r="X103" s="196" t="s">
        <v>771</v>
      </c>
      <c r="Y103" s="196" t="s">
        <v>771</v>
      </c>
      <c r="Z103" s="196" t="s">
        <v>771</v>
      </c>
      <c r="AA103" s="196" t="s">
        <v>771</v>
      </c>
      <c r="AB103" s="196" t="s">
        <v>771</v>
      </c>
      <c r="AC103" s="196" t="s">
        <v>771</v>
      </c>
    </row>
    <row r="104" spans="2:29" x14ac:dyDescent="0.25">
      <c r="B104" s="171" t="s">
        <v>197</v>
      </c>
      <c r="C104" s="171" t="s">
        <v>975</v>
      </c>
      <c r="E104" s="238" t="s">
        <v>659</v>
      </c>
      <c r="F104" s="171" t="s">
        <v>639</v>
      </c>
      <c r="G104" s="238" t="s">
        <v>589</v>
      </c>
      <c r="H104" s="171" t="s">
        <v>259</v>
      </c>
      <c r="I104" s="238" t="s">
        <v>449</v>
      </c>
      <c r="J104" s="171" t="s">
        <v>263</v>
      </c>
      <c r="K104" s="196" t="s">
        <v>771</v>
      </c>
      <c r="L104" s="196" t="s">
        <v>771</v>
      </c>
      <c r="M104" s="196" t="s">
        <v>771</v>
      </c>
      <c r="N104" s="196" t="s">
        <v>771</v>
      </c>
      <c r="O104" s="196" t="s">
        <v>771</v>
      </c>
      <c r="P104" s="196" t="s">
        <v>771</v>
      </c>
      <c r="Q104" s="171" t="s">
        <v>769</v>
      </c>
      <c r="R104" s="171" t="s">
        <v>723</v>
      </c>
      <c r="S104" s="171" t="s">
        <v>769</v>
      </c>
      <c r="T104" s="171" t="s">
        <v>712</v>
      </c>
      <c r="U104" s="196" t="s">
        <v>771</v>
      </c>
      <c r="V104" s="196" t="s">
        <v>771</v>
      </c>
      <c r="W104" s="196" t="s">
        <v>771</v>
      </c>
      <c r="X104" s="196" t="s">
        <v>771</v>
      </c>
      <c r="Y104" s="196" t="s">
        <v>771</v>
      </c>
      <c r="Z104" s="196" t="s">
        <v>771</v>
      </c>
      <c r="AA104" s="196" t="s">
        <v>771</v>
      </c>
      <c r="AB104" s="196" t="s">
        <v>771</v>
      </c>
      <c r="AC104" s="196" t="s">
        <v>771</v>
      </c>
    </row>
    <row r="105" spans="2:29" x14ac:dyDescent="0.25">
      <c r="B105" s="171" t="s">
        <v>156</v>
      </c>
      <c r="C105" s="171" t="s">
        <v>974</v>
      </c>
      <c r="E105" s="238" t="s">
        <v>659</v>
      </c>
      <c r="F105" s="171" t="s">
        <v>639</v>
      </c>
      <c r="G105" s="238" t="s">
        <v>589</v>
      </c>
      <c r="H105" s="171" t="s">
        <v>259</v>
      </c>
      <c r="I105" s="238" t="s">
        <v>450</v>
      </c>
      <c r="J105" s="171" t="s">
        <v>264</v>
      </c>
      <c r="K105" s="196" t="s">
        <v>771</v>
      </c>
      <c r="L105" s="196" t="s">
        <v>771</v>
      </c>
      <c r="M105" s="196" t="s">
        <v>771</v>
      </c>
      <c r="N105" s="196" t="s">
        <v>771</v>
      </c>
      <c r="O105" s="196" t="s">
        <v>771</v>
      </c>
      <c r="P105" s="196" t="s">
        <v>771</v>
      </c>
      <c r="Q105" s="171" t="s">
        <v>769</v>
      </c>
      <c r="R105" s="171" t="s">
        <v>723</v>
      </c>
      <c r="S105" s="171" t="s">
        <v>769</v>
      </c>
      <c r="T105" s="171" t="s">
        <v>712</v>
      </c>
      <c r="U105" s="196" t="s">
        <v>771</v>
      </c>
      <c r="V105" s="196" t="s">
        <v>771</v>
      </c>
      <c r="W105" s="196" t="s">
        <v>771</v>
      </c>
      <c r="X105" s="196" t="s">
        <v>771</v>
      </c>
      <c r="Y105" s="196" t="s">
        <v>771</v>
      </c>
      <c r="Z105" s="196" t="s">
        <v>771</v>
      </c>
      <c r="AA105" s="196" t="s">
        <v>771</v>
      </c>
      <c r="AB105" s="196" t="s">
        <v>771</v>
      </c>
      <c r="AC105" s="196" t="s">
        <v>771</v>
      </c>
    </row>
    <row r="106" spans="2:29" x14ac:dyDescent="0.25">
      <c r="B106" s="171" t="s">
        <v>315</v>
      </c>
      <c r="C106" s="171" t="s">
        <v>979</v>
      </c>
      <c r="E106" s="238" t="s">
        <v>659</v>
      </c>
      <c r="F106" s="171" t="s">
        <v>639</v>
      </c>
      <c r="G106" s="238" t="s">
        <v>589</v>
      </c>
      <c r="H106" s="171" t="s">
        <v>259</v>
      </c>
      <c r="I106" s="238" t="s">
        <v>451</v>
      </c>
      <c r="J106" s="171" t="s">
        <v>265</v>
      </c>
      <c r="K106" s="196" t="s">
        <v>771</v>
      </c>
      <c r="L106" s="196" t="s">
        <v>771</v>
      </c>
      <c r="M106" s="196" t="s">
        <v>771</v>
      </c>
      <c r="N106" s="196" t="s">
        <v>771</v>
      </c>
      <c r="O106" s="196" t="s">
        <v>771</v>
      </c>
      <c r="P106" s="196" t="s">
        <v>771</v>
      </c>
      <c r="Q106" s="171" t="s">
        <v>769</v>
      </c>
      <c r="R106" s="171" t="s">
        <v>723</v>
      </c>
      <c r="S106" s="171" t="s">
        <v>769</v>
      </c>
      <c r="T106" s="171" t="s">
        <v>712</v>
      </c>
      <c r="U106" s="196" t="s">
        <v>771</v>
      </c>
      <c r="V106" s="196" t="s">
        <v>771</v>
      </c>
      <c r="W106" s="196" t="s">
        <v>771</v>
      </c>
      <c r="X106" s="196" t="s">
        <v>771</v>
      </c>
      <c r="Y106" s="196" t="s">
        <v>771</v>
      </c>
      <c r="Z106" s="196" t="s">
        <v>771</v>
      </c>
      <c r="AA106" s="196" t="s">
        <v>771</v>
      </c>
      <c r="AB106" s="196" t="s">
        <v>771</v>
      </c>
      <c r="AC106" s="196" t="s">
        <v>771</v>
      </c>
    </row>
    <row r="107" spans="2:29" x14ac:dyDescent="0.25">
      <c r="B107" s="171" t="s">
        <v>122</v>
      </c>
      <c r="C107" s="171" t="s">
        <v>970</v>
      </c>
      <c r="E107" s="238" t="s">
        <v>659</v>
      </c>
      <c r="F107" s="171" t="s">
        <v>639</v>
      </c>
      <c r="G107" s="238" t="s">
        <v>589</v>
      </c>
      <c r="H107" s="171" t="s">
        <v>259</v>
      </c>
      <c r="I107" s="238" t="s">
        <v>452</v>
      </c>
      <c r="J107" s="171" t="s">
        <v>266</v>
      </c>
      <c r="K107" s="196" t="s">
        <v>771</v>
      </c>
      <c r="L107" s="196" t="s">
        <v>771</v>
      </c>
      <c r="M107" s="196" t="s">
        <v>771</v>
      </c>
      <c r="N107" s="196" t="s">
        <v>771</v>
      </c>
      <c r="O107" s="196" t="s">
        <v>771</v>
      </c>
      <c r="P107" s="196" t="s">
        <v>771</v>
      </c>
      <c r="Q107" s="171" t="s">
        <v>769</v>
      </c>
      <c r="R107" s="171" t="s">
        <v>723</v>
      </c>
      <c r="S107" s="171" t="s">
        <v>769</v>
      </c>
      <c r="T107" s="171" t="s">
        <v>712</v>
      </c>
      <c r="U107" s="196" t="s">
        <v>771</v>
      </c>
      <c r="V107" s="196" t="s">
        <v>771</v>
      </c>
      <c r="W107" s="196" t="s">
        <v>771</v>
      </c>
      <c r="X107" s="196" t="s">
        <v>771</v>
      </c>
      <c r="Y107" s="196" t="s">
        <v>771</v>
      </c>
      <c r="Z107" s="196" t="s">
        <v>771</v>
      </c>
      <c r="AA107" s="196" t="s">
        <v>771</v>
      </c>
      <c r="AB107" s="196" t="s">
        <v>771</v>
      </c>
      <c r="AC107" s="196" t="s">
        <v>771</v>
      </c>
    </row>
    <row r="108" spans="2:29" x14ac:dyDescent="0.25">
      <c r="B108" s="171" t="s">
        <v>200</v>
      </c>
      <c r="C108" s="171" t="s">
        <v>972</v>
      </c>
      <c r="E108" s="238" t="s">
        <v>659</v>
      </c>
      <c r="F108" s="171" t="s">
        <v>639</v>
      </c>
      <c r="G108" s="238" t="s">
        <v>589</v>
      </c>
      <c r="H108" s="171" t="s">
        <v>259</v>
      </c>
      <c r="I108" s="238" t="s">
        <v>453</v>
      </c>
      <c r="J108" s="171" t="s">
        <v>267</v>
      </c>
      <c r="K108" s="196" t="s">
        <v>771</v>
      </c>
      <c r="L108" s="196" t="s">
        <v>771</v>
      </c>
      <c r="M108" s="196" t="s">
        <v>771</v>
      </c>
      <c r="N108" s="196" t="s">
        <v>771</v>
      </c>
      <c r="O108" s="196" t="s">
        <v>771</v>
      </c>
      <c r="P108" s="196" t="s">
        <v>771</v>
      </c>
      <c r="Q108" s="171" t="s">
        <v>769</v>
      </c>
      <c r="R108" s="171" t="s">
        <v>723</v>
      </c>
      <c r="S108" s="171" t="s">
        <v>769</v>
      </c>
      <c r="T108" s="171" t="s">
        <v>712</v>
      </c>
      <c r="U108" s="196" t="s">
        <v>771</v>
      </c>
      <c r="V108" s="196" t="s">
        <v>771</v>
      </c>
      <c r="W108" s="196" t="s">
        <v>771</v>
      </c>
      <c r="X108" s="196" t="s">
        <v>771</v>
      </c>
      <c r="Y108" s="196" t="s">
        <v>771</v>
      </c>
      <c r="Z108" s="196" t="s">
        <v>771</v>
      </c>
      <c r="AA108" s="196" t="s">
        <v>771</v>
      </c>
      <c r="AB108" s="196" t="s">
        <v>771</v>
      </c>
      <c r="AC108" s="196" t="s">
        <v>771</v>
      </c>
    </row>
    <row r="109" spans="2:29" x14ac:dyDescent="0.25">
      <c r="C109" s="171" t="s">
        <v>976</v>
      </c>
      <c r="E109" s="238" t="s">
        <v>659</v>
      </c>
      <c r="F109" s="171" t="s">
        <v>639</v>
      </c>
      <c r="G109" s="238" t="s">
        <v>589</v>
      </c>
      <c r="H109" s="171" t="s">
        <v>259</v>
      </c>
      <c r="I109" s="238" t="s">
        <v>454</v>
      </c>
      <c r="J109" s="171" t="s">
        <v>268</v>
      </c>
      <c r="K109" s="196" t="s">
        <v>771</v>
      </c>
      <c r="L109" s="196" t="s">
        <v>771</v>
      </c>
      <c r="M109" s="196" t="s">
        <v>771</v>
      </c>
      <c r="N109" s="196" t="s">
        <v>771</v>
      </c>
      <c r="O109" s="196" t="s">
        <v>771</v>
      </c>
      <c r="P109" s="196" t="s">
        <v>771</v>
      </c>
      <c r="Q109" s="171" t="s">
        <v>769</v>
      </c>
      <c r="R109" s="171" t="s">
        <v>723</v>
      </c>
      <c r="S109" s="171" t="s">
        <v>769</v>
      </c>
      <c r="T109" s="171" t="s">
        <v>712</v>
      </c>
      <c r="U109" s="196" t="s">
        <v>771</v>
      </c>
      <c r="V109" s="196" t="s">
        <v>771</v>
      </c>
      <c r="W109" s="196" t="s">
        <v>771</v>
      </c>
      <c r="X109" s="196" t="s">
        <v>771</v>
      </c>
      <c r="Y109" s="196" t="s">
        <v>771</v>
      </c>
      <c r="Z109" s="196" t="s">
        <v>771</v>
      </c>
      <c r="AA109" s="196" t="s">
        <v>771</v>
      </c>
      <c r="AB109" s="196" t="s">
        <v>771</v>
      </c>
      <c r="AC109" s="196" t="s">
        <v>771</v>
      </c>
    </row>
    <row r="110" spans="2:29" x14ac:dyDescent="0.25">
      <c r="C110" s="171" t="s">
        <v>977</v>
      </c>
      <c r="E110" s="238" t="s">
        <v>659</v>
      </c>
      <c r="F110" s="171" t="s">
        <v>639</v>
      </c>
      <c r="G110" s="238" t="s">
        <v>589</v>
      </c>
      <c r="H110" s="171" t="s">
        <v>259</v>
      </c>
      <c r="I110" s="238" t="s">
        <v>455</v>
      </c>
      <c r="J110" s="171" t="s">
        <v>269</v>
      </c>
      <c r="K110" s="196" t="s">
        <v>771</v>
      </c>
      <c r="L110" s="196" t="s">
        <v>771</v>
      </c>
      <c r="M110" s="196" t="s">
        <v>771</v>
      </c>
      <c r="N110" s="196" t="s">
        <v>771</v>
      </c>
      <c r="O110" s="196" t="s">
        <v>771</v>
      </c>
      <c r="P110" s="196" t="s">
        <v>771</v>
      </c>
      <c r="Q110" s="171" t="s">
        <v>769</v>
      </c>
      <c r="R110" s="171" t="s">
        <v>723</v>
      </c>
      <c r="S110" s="171" t="s">
        <v>769</v>
      </c>
      <c r="T110" s="171" t="s">
        <v>712</v>
      </c>
      <c r="U110" s="196" t="s">
        <v>771</v>
      </c>
      <c r="V110" s="196" t="s">
        <v>771</v>
      </c>
      <c r="W110" s="196" t="s">
        <v>771</v>
      </c>
      <c r="X110" s="196" t="s">
        <v>771</v>
      </c>
      <c r="Y110" s="196" t="s">
        <v>771</v>
      </c>
      <c r="Z110" s="196" t="s">
        <v>771</v>
      </c>
      <c r="AA110" s="196" t="s">
        <v>771</v>
      </c>
      <c r="AB110" s="196" t="s">
        <v>771</v>
      </c>
      <c r="AC110" s="196" t="s">
        <v>771</v>
      </c>
    </row>
    <row r="111" spans="2:29" x14ac:dyDescent="0.25">
      <c r="C111" s="171" t="s">
        <v>980</v>
      </c>
      <c r="E111" s="238" t="s">
        <v>659</v>
      </c>
      <c r="F111" s="171" t="s">
        <v>639</v>
      </c>
      <c r="G111" s="238" t="s">
        <v>589</v>
      </c>
      <c r="H111" s="171" t="s">
        <v>259</v>
      </c>
      <c r="I111" s="238" t="s">
        <v>456</v>
      </c>
      <c r="J111" s="171" t="s">
        <v>270</v>
      </c>
      <c r="K111" s="196" t="s">
        <v>771</v>
      </c>
      <c r="L111" s="196" t="s">
        <v>771</v>
      </c>
      <c r="M111" s="196" t="s">
        <v>771</v>
      </c>
      <c r="N111" s="196" t="s">
        <v>771</v>
      </c>
      <c r="O111" s="196" t="s">
        <v>771</v>
      </c>
      <c r="P111" s="196" t="s">
        <v>771</v>
      </c>
      <c r="Q111" s="171" t="s">
        <v>769</v>
      </c>
      <c r="R111" s="171" t="s">
        <v>723</v>
      </c>
      <c r="S111" s="171" t="s">
        <v>769</v>
      </c>
      <c r="T111" s="171" t="s">
        <v>712</v>
      </c>
      <c r="U111" s="196" t="s">
        <v>771</v>
      </c>
      <c r="V111" s="196" t="s">
        <v>771</v>
      </c>
      <c r="W111" s="196" t="s">
        <v>771</v>
      </c>
      <c r="X111" s="196" t="s">
        <v>771</v>
      </c>
      <c r="Y111" s="196" t="s">
        <v>771</v>
      </c>
      <c r="Z111" s="196" t="s">
        <v>771</v>
      </c>
      <c r="AA111" s="196" t="s">
        <v>771</v>
      </c>
      <c r="AB111" s="196" t="s">
        <v>771</v>
      </c>
      <c r="AC111" s="196" t="s">
        <v>771</v>
      </c>
    </row>
    <row r="112" spans="2:29" x14ac:dyDescent="0.25">
      <c r="C112" s="171" t="s">
        <v>973</v>
      </c>
      <c r="E112" s="238" t="s">
        <v>659</v>
      </c>
      <c r="F112" s="171" t="s">
        <v>639</v>
      </c>
      <c r="G112" s="238" t="s">
        <v>589</v>
      </c>
      <c r="H112" s="171" t="s">
        <v>259</v>
      </c>
      <c r="I112" s="238" t="s">
        <v>457</v>
      </c>
      <c r="J112" s="171" t="s">
        <v>271</v>
      </c>
      <c r="K112" s="196" t="s">
        <v>771</v>
      </c>
      <c r="L112" s="196" t="s">
        <v>771</v>
      </c>
      <c r="M112" s="196" t="s">
        <v>771</v>
      </c>
      <c r="N112" s="196" t="s">
        <v>771</v>
      </c>
      <c r="O112" s="196" t="s">
        <v>771</v>
      </c>
      <c r="P112" s="196" t="s">
        <v>771</v>
      </c>
      <c r="Q112" s="171" t="s">
        <v>769</v>
      </c>
      <c r="R112" s="171" t="s">
        <v>723</v>
      </c>
      <c r="S112" s="171" t="s">
        <v>769</v>
      </c>
      <c r="T112" s="171" t="s">
        <v>712</v>
      </c>
      <c r="U112" s="196" t="s">
        <v>771</v>
      </c>
      <c r="V112" s="196" t="s">
        <v>771</v>
      </c>
      <c r="W112" s="196" t="s">
        <v>771</v>
      </c>
      <c r="X112" s="196" t="s">
        <v>771</v>
      </c>
      <c r="Y112" s="196" t="s">
        <v>771</v>
      </c>
      <c r="Z112" s="196" t="s">
        <v>771</v>
      </c>
      <c r="AA112" s="196" t="s">
        <v>771</v>
      </c>
      <c r="AB112" s="196" t="s">
        <v>771</v>
      </c>
      <c r="AC112" s="196" t="s">
        <v>771</v>
      </c>
    </row>
    <row r="113" spans="3:29" x14ac:dyDescent="0.25">
      <c r="C113" s="171" t="s">
        <v>251</v>
      </c>
      <c r="E113" s="238" t="s">
        <v>659</v>
      </c>
      <c r="F113" s="171" t="s">
        <v>639</v>
      </c>
      <c r="G113" s="238" t="s">
        <v>589</v>
      </c>
      <c r="H113" s="171" t="s">
        <v>259</v>
      </c>
      <c r="I113" s="238" t="s">
        <v>458</v>
      </c>
      <c r="J113" s="171" t="s">
        <v>272</v>
      </c>
      <c r="K113" s="196" t="s">
        <v>771</v>
      </c>
      <c r="L113" s="196" t="s">
        <v>771</v>
      </c>
      <c r="M113" s="196" t="s">
        <v>771</v>
      </c>
      <c r="N113" s="196" t="s">
        <v>771</v>
      </c>
      <c r="O113" s="196" t="s">
        <v>771</v>
      </c>
      <c r="P113" s="196" t="s">
        <v>771</v>
      </c>
      <c r="Q113" s="171" t="s">
        <v>769</v>
      </c>
      <c r="R113" s="171" t="s">
        <v>723</v>
      </c>
      <c r="S113" s="171" t="s">
        <v>769</v>
      </c>
      <c r="T113" s="171" t="s">
        <v>712</v>
      </c>
      <c r="U113" s="196" t="s">
        <v>771</v>
      </c>
      <c r="V113" s="196" t="s">
        <v>771</v>
      </c>
      <c r="W113" s="196" t="s">
        <v>771</v>
      </c>
      <c r="X113" s="196" t="s">
        <v>771</v>
      </c>
      <c r="Y113" s="196" t="s">
        <v>771</v>
      </c>
      <c r="Z113" s="196" t="s">
        <v>771</v>
      </c>
      <c r="AA113" s="196" t="s">
        <v>771</v>
      </c>
      <c r="AB113" s="196" t="s">
        <v>771</v>
      </c>
      <c r="AC113" s="196" t="s">
        <v>771</v>
      </c>
    </row>
    <row r="114" spans="3:29" x14ac:dyDescent="0.25">
      <c r="C114" s="171" t="s">
        <v>222</v>
      </c>
      <c r="E114" s="238" t="s">
        <v>659</v>
      </c>
      <c r="F114" s="171" t="s">
        <v>639</v>
      </c>
      <c r="G114" s="238" t="s">
        <v>589</v>
      </c>
      <c r="H114" s="171" t="s">
        <v>259</v>
      </c>
      <c r="I114" s="238" t="s">
        <v>459</v>
      </c>
      <c r="J114" s="171" t="s">
        <v>273</v>
      </c>
      <c r="K114" s="196" t="s">
        <v>771</v>
      </c>
      <c r="L114" s="196" t="s">
        <v>771</v>
      </c>
      <c r="M114" s="196" t="s">
        <v>771</v>
      </c>
      <c r="N114" s="196" t="s">
        <v>771</v>
      </c>
      <c r="O114" s="196" t="s">
        <v>771</v>
      </c>
      <c r="P114" s="196" t="s">
        <v>771</v>
      </c>
      <c r="Q114" s="171" t="s">
        <v>769</v>
      </c>
      <c r="R114" s="171" t="s">
        <v>723</v>
      </c>
      <c r="S114" s="171" t="s">
        <v>769</v>
      </c>
      <c r="T114" s="171" t="s">
        <v>712</v>
      </c>
      <c r="U114" s="196" t="s">
        <v>771</v>
      </c>
      <c r="V114" s="196" t="s">
        <v>771</v>
      </c>
      <c r="W114" s="196" t="s">
        <v>771</v>
      </c>
      <c r="X114" s="196" t="s">
        <v>771</v>
      </c>
      <c r="Y114" s="196" t="s">
        <v>771</v>
      </c>
      <c r="Z114" s="196" t="s">
        <v>771</v>
      </c>
      <c r="AA114" s="196" t="s">
        <v>771</v>
      </c>
      <c r="AB114" s="196" t="s">
        <v>771</v>
      </c>
      <c r="AC114" s="196" t="s">
        <v>771</v>
      </c>
    </row>
    <row r="115" spans="3:29" x14ac:dyDescent="0.25">
      <c r="C115" s="171" t="s">
        <v>264</v>
      </c>
      <c r="E115" s="238" t="s">
        <v>659</v>
      </c>
      <c r="F115" s="171" t="s">
        <v>639</v>
      </c>
      <c r="G115" s="238" t="s">
        <v>589</v>
      </c>
      <c r="H115" s="171" t="s">
        <v>259</v>
      </c>
      <c r="I115" s="238" t="s">
        <v>460</v>
      </c>
      <c r="J115" s="171" t="s">
        <v>274</v>
      </c>
      <c r="K115" s="196" t="s">
        <v>771</v>
      </c>
      <c r="L115" s="196" t="s">
        <v>771</v>
      </c>
      <c r="M115" s="196" t="s">
        <v>771</v>
      </c>
      <c r="N115" s="196" t="s">
        <v>771</v>
      </c>
      <c r="O115" s="196" t="s">
        <v>771</v>
      </c>
      <c r="P115" s="196" t="s">
        <v>771</v>
      </c>
      <c r="Q115" s="171" t="s">
        <v>769</v>
      </c>
      <c r="R115" s="171" t="s">
        <v>723</v>
      </c>
      <c r="S115" s="171" t="s">
        <v>769</v>
      </c>
      <c r="T115" s="171" t="s">
        <v>712</v>
      </c>
      <c r="U115" s="196" t="s">
        <v>771</v>
      </c>
      <c r="V115" s="196" t="s">
        <v>771</v>
      </c>
      <c r="W115" s="196" t="s">
        <v>771</v>
      </c>
      <c r="X115" s="196" t="s">
        <v>771</v>
      </c>
      <c r="Y115" s="196" t="s">
        <v>771</v>
      </c>
      <c r="Z115" s="196" t="s">
        <v>771</v>
      </c>
      <c r="AA115" s="196" t="s">
        <v>771</v>
      </c>
      <c r="AB115" s="196" t="s">
        <v>771</v>
      </c>
      <c r="AC115" s="196" t="s">
        <v>771</v>
      </c>
    </row>
    <row r="116" spans="3:29" x14ac:dyDescent="0.25">
      <c r="C116" s="171" t="s">
        <v>298</v>
      </c>
      <c r="E116" s="238" t="s">
        <v>659</v>
      </c>
      <c r="F116" s="171" t="s">
        <v>639</v>
      </c>
      <c r="G116" s="238" t="s">
        <v>589</v>
      </c>
      <c r="H116" s="171" t="s">
        <v>259</v>
      </c>
      <c r="I116" s="238" t="s">
        <v>461</v>
      </c>
      <c r="J116" s="171" t="s">
        <v>275</v>
      </c>
      <c r="K116" s="196" t="s">
        <v>771</v>
      </c>
      <c r="L116" s="196" t="s">
        <v>771</v>
      </c>
      <c r="M116" s="196" t="s">
        <v>771</v>
      </c>
      <c r="N116" s="196" t="s">
        <v>771</v>
      </c>
      <c r="O116" s="196" t="s">
        <v>771</v>
      </c>
      <c r="P116" s="196" t="s">
        <v>771</v>
      </c>
      <c r="Q116" s="171" t="s">
        <v>769</v>
      </c>
      <c r="R116" s="171" t="s">
        <v>723</v>
      </c>
      <c r="S116" s="171" t="s">
        <v>769</v>
      </c>
      <c r="T116" s="171" t="s">
        <v>712</v>
      </c>
      <c r="U116" s="196" t="s">
        <v>771</v>
      </c>
      <c r="V116" s="196" t="s">
        <v>771</v>
      </c>
      <c r="W116" s="196" t="s">
        <v>771</v>
      </c>
      <c r="X116" s="196" t="s">
        <v>771</v>
      </c>
      <c r="Y116" s="196" t="s">
        <v>771</v>
      </c>
      <c r="Z116" s="196" t="s">
        <v>771</v>
      </c>
      <c r="AA116" s="196" t="s">
        <v>771</v>
      </c>
      <c r="AB116" s="196" t="s">
        <v>771</v>
      </c>
      <c r="AC116" s="196" t="s">
        <v>771</v>
      </c>
    </row>
    <row r="117" spans="3:29" x14ac:dyDescent="0.25">
      <c r="C117" s="171" t="s">
        <v>266</v>
      </c>
      <c r="E117" s="238" t="s">
        <v>659</v>
      </c>
      <c r="F117" s="171" t="s">
        <v>639</v>
      </c>
      <c r="G117" s="238" t="s">
        <v>589</v>
      </c>
      <c r="H117" s="171" t="s">
        <v>259</v>
      </c>
      <c r="I117" s="238" t="s">
        <v>462</v>
      </c>
      <c r="J117" s="171" t="s">
        <v>276</v>
      </c>
      <c r="K117" s="196" t="s">
        <v>771</v>
      </c>
      <c r="L117" s="196" t="s">
        <v>771</v>
      </c>
      <c r="M117" s="196" t="s">
        <v>771</v>
      </c>
      <c r="N117" s="196" t="s">
        <v>771</v>
      </c>
      <c r="O117" s="196" t="s">
        <v>771</v>
      </c>
      <c r="P117" s="196" t="s">
        <v>771</v>
      </c>
      <c r="Q117" s="171" t="s">
        <v>769</v>
      </c>
      <c r="R117" s="171" t="s">
        <v>723</v>
      </c>
      <c r="S117" s="171" t="s">
        <v>769</v>
      </c>
      <c r="T117" s="171" t="s">
        <v>712</v>
      </c>
      <c r="U117" s="196" t="s">
        <v>771</v>
      </c>
      <c r="V117" s="196" t="s">
        <v>771</v>
      </c>
      <c r="W117" s="196" t="s">
        <v>771</v>
      </c>
      <c r="X117" s="196" t="s">
        <v>771</v>
      </c>
      <c r="Y117" s="196" t="s">
        <v>771</v>
      </c>
      <c r="Z117" s="196" t="s">
        <v>771</v>
      </c>
      <c r="AA117" s="196" t="s">
        <v>771</v>
      </c>
      <c r="AB117" s="196" t="s">
        <v>771</v>
      </c>
      <c r="AC117" s="196" t="s">
        <v>771</v>
      </c>
    </row>
    <row r="118" spans="3:29" x14ac:dyDescent="0.25">
      <c r="C118" s="171" t="s">
        <v>265</v>
      </c>
      <c r="E118" s="238" t="s">
        <v>659</v>
      </c>
      <c r="F118" s="171" t="s">
        <v>639</v>
      </c>
      <c r="G118" s="238" t="s">
        <v>589</v>
      </c>
      <c r="H118" s="171" t="s">
        <v>259</v>
      </c>
      <c r="I118" s="238" t="s">
        <v>463</v>
      </c>
      <c r="J118" s="171" t="s">
        <v>277</v>
      </c>
      <c r="K118" s="196" t="s">
        <v>771</v>
      </c>
      <c r="L118" s="196" t="s">
        <v>771</v>
      </c>
      <c r="M118" s="196" t="s">
        <v>771</v>
      </c>
      <c r="N118" s="196" t="s">
        <v>771</v>
      </c>
      <c r="O118" s="196" t="s">
        <v>771</v>
      </c>
      <c r="P118" s="196" t="s">
        <v>771</v>
      </c>
      <c r="Q118" s="171" t="s">
        <v>769</v>
      </c>
      <c r="R118" s="171" t="s">
        <v>723</v>
      </c>
      <c r="S118" s="171" t="s">
        <v>769</v>
      </c>
      <c r="T118" s="171" t="s">
        <v>712</v>
      </c>
      <c r="U118" s="196" t="s">
        <v>771</v>
      </c>
      <c r="V118" s="196" t="s">
        <v>771</v>
      </c>
      <c r="W118" s="196" t="s">
        <v>771</v>
      </c>
      <c r="X118" s="196" t="s">
        <v>771</v>
      </c>
      <c r="Y118" s="196" t="s">
        <v>771</v>
      </c>
      <c r="Z118" s="196" t="s">
        <v>771</v>
      </c>
      <c r="AA118" s="196" t="s">
        <v>771</v>
      </c>
      <c r="AB118" s="196" t="s">
        <v>771</v>
      </c>
      <c r="AC118" s="196" t="s">
        <v>771</v>
      </c>
    </row>
    <row r="119" spans="3:29" x14ac:dyDescent="0.25">
      <c r="C119" s="171" t="s">
        <v>297</v>
      </c>
      <c r="E119" s="238" t="s">
        <v>659</v>
      </c>
      <c r="F119" s="171" t="s">
        <v>639</v>
      </c>
      <c r="G119" s="238" t="s">
        <v>589</v>
      </c>
      <c r="H119" s="171" t="s">
        <v>259</v>
      </c>
      <c r="I119" s="238" t="s">
        <v>464</v>
      </c>
      <c r="J119" s="171" t="s">
        <v>278</v>
      </c>
      <c r="K119" s="196" t="s">
        <v>771</v>
      </c>
      <c r="L119" s="196" t="s">
        <v>771</v>
      </c>
      <c r="M119" s="196" t="s">
        <v>771</v>
      </c>
      <c r="N119" s="196" t="s">
        <v>771</v>
      </c>
      <c r="O119" s="196" t="s">
        <v>771</v>
      </c>
      <c r="P119" s="196" t="s">
        <v>771</v>
      </c>
      <c r="Q119" s="171" t="s">
        <v>769</v>
      </c>
      <c r="R119" s="171" t="s">
        <v>723</v>
      </c>
      <c r="S119" s="171" t="s">
        <v>769</v>
      </c>
      <c r="T119" s="171" t="s">
        <v>712</v>
      </c>
      <c r="U119" s="196" t="s">
        <v>771</v>
      </c>
      <c r="V119" s="196" t="s">
        <v>771</v>
      </c>
      <c r="W119" s="196" t="s">
        <v>771</v>
      </c>
      <c r="X119" s="196" t="s">
        <v>771</v>
      </c>
      <c r="Y119" s="196" t="s">
        <v>771</v>
      </c>
      <c r="Z119" s="196" t="s">
        <v>771</v>
      </c>
      <c r="AA119" s="196" t="s">
        <v>771</v>
      </c>
      <c r="AB119" s="196" t="s">
        <v>771</v>
      </c>
      <c r="AC119" s="196" t="s">
        <v>771</v>
      </c>
    </row>
    <row r="120" spans="3:29" x14ac:dyDescent="0.25">
      <c r="C120" s="171" t="s">
        <v>268</v>
      </c>
      <c r="E120" s="238" t="s">
        <v>659</v>
      </c>
      <c r="F120" s="171" t="s">
        <v>639</v>
      </c>
      <c r="G120" s="238" t="s">
        <v>589</v>
      </c>
      <c r="H120" s="171" t="s">
        <v>259</v>
      </c>
      <c r="I120" s="238" t="s">
        <v>465</v>
      </c>
      <c r="J120" s="171" t="s">
        <v>279</v>
      </c>
      <c r="K120" s="196" t="s">
        <v>771</v>
      </c>
      <c r="L120" s="196" t="s">
        <v>771</v>
      </c>
      <c r="M120" s="196" t="s">
        <v>771</v>
      </c>
      <c r="N120" s="196" t="s">
        <v>771</v>
      </c>
      <c r="O120" s="196" t="s">
        <v>771</v>
      </c>
      <c r="P120" s="196" t="s">
        <v>771</v>
      </c>
      <c r="Q120" s="171" t="s">
        <v>769</v>
      </c>
      <c r="R120" s="171" t="s">
        <v>723</v>
      </c>
      <c r="S120" s="171" t="s">
        <v>769</v>
      </c>
      <c r="T120" s="171" t="s">
        <v>712</v>
      </c>
      <c r="U120" s="196" t="s">
        <v>771</v>
      </c>
      <c r="V120" s="196" t="s">
        <v>771</v>
      </c>
      <c r="W120" s="196" t="s">
        <v>771</v>
      </c>
      <c r="X120" s="196" t="s">
        <v>771</v>
      </c>
      <c r="Y120" s="196" t="s">
        <v>771</v>
      </c>
      <c r="Z120" s="196" t="s">
        <v>771</v>
      </c>
      <c r="AA120" s="196" t="s">
        <v>771</v>
      </c>
      <c r="AB120" s="196" t="s">
        <v>771</v>
      </c>
      <c r="AC120" s="196" t="s">
        <v>771</v>
      </c>
    </row>
    <row r="121" spans="3:29" x14ac:dyDescent="0.25">
      <c r="C121" s="171" t="s">
        <v>263</v>
      </c>
      <c r="E121" s="238" t="s">
        <v>659</v>
      </c>
      <c r="F121" s="171" t="s">
        <v>639</v>
      </c>
      <c r="G121" s="238" t="s">
        <v>589</v>
      </c>
      <c r="H121" s="171" t="s">
        <v>259</v>
      </c>
      <c r="I121" s="238" t="s">
        <v>466</v>
      </c>
      <c r="J121" s="171" t="s">
        <v>280</v>
      </c>
      <c r="K121" s="196" t="s">
        <v>771</v>
      </c>
      <c r="L121" s="196" t="s">
        <v>771</v>
      </c>
      <c r="M121" s="196" t="s">
        <v>771</v>
      </c>
      <c r="N121" s="196" t="s">
        <v>771</v>
      </c>
      <c r="O121" s="196" t="s">
        <v>771</v>
      </c>
      <c r="P121" s="196" t="s">
        <v>771</v>
      </c>
      <c r="Q121" s="171" t="s">
        <v>769</v>
      </c>
      <c r="R121" s="171" t="s">
        <v>723</v>
      </c>
      <c r="S121" s="171" t="s">
        <v>769</v>
      </c>
      <c r="T121" s="171" t="s">
        <v>712</v>
      </c>
      <c r="U121" s="196" t="s">
        <v>771</v>
      </c>
      <c r="V121" s="196" t="s">
        <v>771</v>
      </c>
      <c r="W121" s="196" t="s">
        <v>771</v>
      </c>
      <c r="X121" s="196" t="s">
        <v>771</v>
      </c>
      <c r="Y121" s="196" t="s">
        <v>771</v>
      </c>
      <c r="Z121" s="196" t="s">
        <v>771</v>
      </c>
      <c r="AA121" s="196" t="s">
        <v>771</v>
      </c>
      <c r="AB121" s="196" t="s">
        <v>771</v>
      </c>
      <c r="AC121" s="196" t="s">
        <v>771</v>
      </c>
    </row>
    <row r="122" spans="3:29" x14ac:dyDescent="0.25">
      <c r="C122" s="171" t="s">
        <v>261</v>
      </c>
      <c r="E122" s="238" t="s">
        <v>659</v>
      </c>
      <c r="F122" s="171" t="s">
        <v>639</v>
      </c>
      <c r="G122" s="238" t="s">
        <v>589</v>
      </c>
      <c r="H122" s="171" t="s">
        <v>259</v>
      </c>
      <c r="I122" s="238" t="s">
        <v>467</v>
      </c>
      <c r="J122" s="171" t="s">
        <v>281</v>
      </c>
      <c r="K122" s="196" t="s">
        <v>771</v>
      </c>
      <c r="L122" s="196" t="s">
        <v>771</v>
      </c>
      <c r="M122" s="196" t="s">
        <v>771</v>
      </c>
      <c r="N122" s="196" t="s">
        <v>771</v>
      </c>
      <c r="O122" s="196" t="s">
        <v>771</v>
      </c>
      <c r="P122" s="196" t="s">
        <v>771</v>
      </c>
      <c r="Q122" s="171" t="s">
        <v>769</v>
      </c>
      <c r="R122" s="171" t="s">
        <v>723</v>
      </c>
      <c r="S122" s="171" t="s">
        <v>769</v>
      </c>
      <c r="T122" s="171" t="s">
        <v>712</v>
      </c>
      <c r="U122" s="196" t="s">
        <v>771</v>
      </c>
      <c r="V122" s="196" t="s">
        <v>771</v>
      </c>
      <c r="W122" s="196" t="s">
        <v>771</v>
      </c>
      <c r="X122" s="196" t="s">
        <v>771</v>
      </c>
      <c r="Y122" s="196" t="s">
        <v>771</v>
      </c>
      <c r="Z122" s="196" t="s">
        <v>771</v>
      </c>
      <c r="AA122" s="196" t="s">
        <v>771</v>
      </c>
      <c r="AB122" s="196" t="s">
        <v>771</v>
      </c>
      <c r="AC122" s="196" t="s">
        <v>771</v>
      </c>
    </row>
    <row r="123" spans="3:29" x14ac:dyDescent="0.25">
      <c r="C123" s="171" t="s">
        <v>272</v>
      </c>
      <c r="E123" s="238" t="s">
        <v>659</v>
      </c>
      <c r="F123" s="171" t="s">
        <v>639</v>
      </c>
      <c r="G123" s="238" t="s">
        <v>590</v>
      </c>
      <c r="H123" s="171" t="s">
        <v>282</v>
      </c>
      <c r="I123" s="238" t="s">
        <v>468</v>
      </c>
      <c r="J123" s="171" t="s">
        <v>282</v>
      </c>
      <c r="K123" s="196" t="s">
        <v>771</v>
      </c>
      <c r="L123" s="196" t="s">
        <v>771</v>
      </c>
      <c r="M123" s="196" t="s">
        <v>771</v>
      </c>
      <c r="N123" s="196" t="s">
        <v>771</v>
      </c>
      <c r="O123" s="196" t="s">
        <v>771</v>
      </c>
      <c r="P123" s="196" t="s">
        <v>771</v>
      </c>
      <c r="Q123" s="171" t="s">
        <v>769</v>
      </c>
      <c r="R123" s="171" t="s">
        <v>721</v>
      </c>
      <c r="S123" s="171" t="s">
        <v>769</v>
      </c>
      <c r="T123" s="171" t="s">
        <v>712</v>
      </c>
      <c r="U123" s="196" t="s">
        <v>771</v>
      </c>
      <c r="V123" s="196" t="s">
        <v>771</v>
      </c>
      <c r="W123" s="196" t="s">
        <v>771</v>
      </c>
      <c r="X123" s="196" t="s">
        <v>771</v>
      </c>
      <c r="Y123" s="196" t="s">
        <v>771</v>
      </c>
      <c r="Z123" s="196" t="s">
        <v>771</v>
      </c>
      <c r="AA123" s="196" t="s">
        <v>771</v>
      </c>
      <c r="AB123" s="196" t="s">
        <v>771</v>
      </c>
      <c r="AC123" s="196" t="s">
        <v>771</v>
      </c>
    </row>
    <row r="124" spans="3:29" x14ac:dyDescent="0.25">
      <c r="C124" s="171" t="s">
        <v>260</v>
      </c>
      <c r="E124" s="238" t="s">
        <v>659</v>
      </c>
      <c r="F124" s="171" t="s">
        <v>639</v>
      </c>
      <c r="G124" s="238" t="s">
        <v>590</v>
      </c>
      <c r="H124" s="171" t="s">
        <v>282</v>
      </c>
      <c r="I124" s="238" t="s">
        <v>469</v>
      </c>
      <c r="J124" s="171" t="s">
        <v>283</v>
      </c>
      <c r="K124" s="196" t="s">
        <v>771</v>
      </c>
      <c r="L124" s="196" t="s">
        <v>771</v>
      </c>
      <c r="M124" s="196" t="s">
        <v>771</v>
      </c>
      <c r="N124" s="196" t="s">
        <v>771</v>
      </c>
      <c r="O124" s="196" t="s">
        <v>771</v>
      </c>
      <c r="P124" s="196" t="s">
        <v>771</v>
      </c>
      <c r="Q124" s="171" t="s">
        <v>769</v>
      </c>
      <c r="R124" s="171" t="s">
        <v>721</v>
      </c>
      <c r="S124" s="171" t="s">
        <v>769</v>
      </c>
      <c r="T124" s="171" t="s">
        <v>712</v>
      </c>
      <c r="U124" s="196" t="s">
        <v>771</v>
      </c>
      <c r="V124" s="196" t="s">
        <v>771</v>
      </c>
      <c r="W124" s="196" t="s">
        <v>771</v>
      </c>
      <c r="X124" s="196" t="s">
        <v>771</v>
      </c>
      <c r="Y124" s="196" t="s">
        <v>771</v>
      </c>
      <c r="Z124" s="196" t="s">
        <v>771</v>
      </c>
      <c r="AA124" s="196" t="s">
        <v>771</v>
      </c>
      <c r="AB124" s="196" t="s">
        <v>771</v>
      </c>
      <c r="AC124" s="196" t="s">
        <v>771</v>
      </c>
    </row>
    <row r="125" spans="3:29" x14ac:dyDescent="0.25">
      <c r="C125" s="171" t="s">
        <v>270</v>
      </c>
      <c r="E125" s="238" t="s">
        <v>659</v>
      </c>
      <c r="F125" s="171" t="s">
        <v>639</v>
      </c>
      <c r="G125" s="238" t="s">
        <v>590</v>
      </c>
      <c r="H125" s="171" t="s">
        <v>282</v>
      </c>
      <c r="I125" s="238" t="s">
        <v>470</v>
      </c>
      <c r="J125" s="171" t="s">
        <v>284</v>
      </c>
      <c r="K125" s="196" t="s">
        <v>771</v>
      </c>
      <c r="L125" s="196" t="s">
        <v>771</v>
      </c>
      <c r="M125" s="196" t="s">
        <v>771</v>
      </c>
      <c r="N125" s="196" t="s">
        <v>771</v>
      </c>
      <c r="O125" s="196" t="s">
        <v>771</v>
      </c>
      <c r="P125" s="196" t="s">
        <v>771</v>
      </c>
      <c r="Q125" s="171" t="s">
        <v>769</v>
      </c>
      <c r="R125" s="171" t="s">
        <v>721</v>
      </c>
      <c r="S125" s="171" t="s">
        <v>769</v>
      </c>
      <c r="T125" s="171" t="s">
        <v>712</v>
      </c>
      <c r="U125" s="196" t="s">
        <v>771</v>
      </c>
      <c r="V125" s="196" t="s">
        <v>771</v>
      </c>
      <c r="W125" s="196" t="s">
        <v>771</v>
      </c>
      <c r="X125" s="196" t="s">
        <v>771</v>
      </c>
      <c r="Y125" s="196" t="s">
        <v>771</v>
      </c>
      <c r="Z125" s="196" t="s">
        <v>771</v>
      </c>
      <c r="AA125" s="196" t="s">
        <v>771</v>
      </c>
      <c r="AB125" s="196" t="s">
        <v>771</v>
      </c>
      <c r="AC125" s="196" t="s">
        <v>771</v>
      </c>
    </row>
    <row r="126" spans="3:29" x14ac:dyDescent="0.25">
      <c r="C126" s="171" t="s">
        <v>273</v>
      </c>
      <c r="E126" s="238" t="s">
        <v>659</v>
      </c>
      <c r="F126" s="171" t="s">
        <v>639</v>
      </c>
      <c r="G126" s="238" t="s">
        <v>590</v>
      </c>
      <c r="H126" s="171" t="s">
        <v>282</v>
      </c>
      <c r="I126" s="238" t="s">
        <v>471</v>
      </c>
      <c r="J126" s="171" t="s">
        <v>285</v>
      </c>
      <c r="K126" s="196" t="s">
        <v>771</v>
      </c>
      <c r="L126" s="196" t="s">
        <v>771</v>
      </c>
      <c r="M126" s="196" t="s">
        <v>771</v>
      </c>
      <c r="N126" s="196" t="s">
        <v>771</v>
      </c>
      <c r="O126" s="196" t="s">
        <v>771</v>
      </c>
      <c r="P126" s="196" t="s">
        <v>771</v>
      </c>
      <c r="Q126" s="171" t="s">
        <v>769</v>
      </c>
      <c r="R126" s="171" t="s">
        <v>723</v>
      </c>
      <c r="S126" s="171" t="s">
        <v>769</v>
      </c>
      <c r="T126" s="171" t="s">
        <v>712</v>
      </c>
      <c r="U126" s="196" t="s">
        <v>771</v>
      </c>
      <c r="V126" s="196" t="s">
        <v>771</v>
      </c>
      <c r="W126" s="196" t="s">
        <v>771</v>
      </c>
      <c r="X126" s="196" t="s">
        <v>771</v>
      </c>
      <c r="Y126" s="196" t="s">
        <v>771</v>
      </c>
      <c r="Z126" s="196" t="s">
        <v>771</v>
      </c>
      <c r="AA126" s="196" t="s">
        <v>771</v>
      </c>
      <c r="AB126" s="196" t="s">
        <v>771</v>
      </c>
      <c r="AC126" s="196" t="s">
        <v>771</v>
      </c>
    </row>
    <row r="127" spans="3:29" x14ac:dyDescent="0.25">
      <c r="C127" s="171" t="s">
        <v>275</v>
      </c>
      <c r="E127" s="238" t="s">
        <v>659</v>
      </c>
      <c r="F127" s="171" t="s">
        <v>639</v>
      </c>
      <c r="G127" s="238" t="s">
        <v>590</v>
      </c>
      <c r="H127" s="171" t="s">
        <v>282</v>
      </c>
      <c r="I127" s="238" t="s">
        <v>472</v>
      </c>
      <c r="J127" s="171" t="s">
        <v>286</v>
      </c>
      <c r="K127" s="196" t="s">
        <v>771</v>
      </c>
      <c r="L127" s="196" t="s">
        <v>771</v>
      </c>
      <c r="M127" s="196" t="s">
        <v>771</v>
      </c>
      <c r="N127" s="196" t="s">
        <v>771</v>
      </c>
      <c r="O127" s="196" t="s">
        <v>771</v>
      </c>
      <c r="P127" s="196" t="s">
        <v>771</v>
      </c>
      <c r="Q127" s="171" t="s">
        <v>769</v>
      </c>
      <c r="R127" s="171" t="s">
        <v>721</v>
      </c>
      <c r="S127" s="171" t="s">
        <v>769</v>
      </c>
      <c r="T127" s="171" t="s">
        <v>712</v>
      </c>
      <c r="U127" s="196" t="s">
        <v>771</v>
      </c>
      <c r="V127" s="196" t="s">
        <v>771</v>
      </c>
      <c r="W127" s="196" t="s">
        <v>771</v>
      </c>
      <c r="X127" s="196" t="s">
        <v>771</v>
      </c>
      <c r="Y127" s="196" t="s">
        <v>771</v>
      </c>
      <c r="Z127" s="196" t="s">
        <v>771</v>
      </c>
      <c r="AA127" s="196" t="s">
        <v>771</v>
      </c>
      <c r="AB127" s="196" t="s">
        <v>771</v>
      </c>
      <c r="AC127" s="196" t="s">
        <v>771</v>
      </c>
    </row>
    <row r="128" spans="3:29" x14ac:dyDescent="0.25">
      <c r="C128" s="171" t="s">
        <v>262</v>
      </c>
      <c r="E128" s="238" t="s">
        <v>659</v>
      </c>
      <c r="F128" s="171" t="s">
        <v>639</v>
      </c>
      <c r="G128" s="238" t="s">
        <v>590</v>
      </c>
      <c r="H128" s="171" t="s">
        <v>282</v>
      </c>
      <c r="I128" s="238" t="s">
        <v>473</v>
      </c>
      <c r="J128" s="171" t="s">
        <v>287</v>
      </c>
      <c r="K128" s="196" t="s">
        <v>771</v>
      </c>
      <c r="L128" s="196" t="s">
        <v>771</v>
      </c>
      <c r="M128" s="196" t="s">
        <v>771</v>
      </c>
      <c r="N128" s="196" t="s">
        <v>771</v>
      </c>
      <c r="O128" s="196" t="s">
        <v>771</v>
      </c>
      <c r="P128" s="196" t="s">
        <v>771</v>
      </c>
      <c r="Q128" s="171" t="s">
        <v>769</v>
      </c>
      <c r="R128" s="171" t="s">
        <v>724</v>
      </c>
      <c r="S128" s="171" t="s">
        <v>769</v>
      </c>
      <c r="T128" s="171" t="s">
        <v>725</v>
      </c>
      <c r="U128" s="196" t="s">
        <v>771</v>
      </c>
      <c r="V128" s="196" t="s">
        <v>771</v>
      </c>
      <c r="W128" s="196" t="s">
        <v>771</v>
      </c>
      <c r="X128" s="196" t="s">
        <v>771</v>
      </c>
      <c r="Y128" s="196" t="s">
        <v>771</v>
      </c>
      <c r="Z128" s="196" t="s">
        <v>771</v>
      </c>
      <c r="AA128" s="196" t="s">
        <v>771</v>
      </c>
      <c r="AB128" s="196" t="s">
        <v>771</v>
      </c>
      <c r="AC128" s="196" t="s">
        <v>771</v>
      </c>
    </row>
    <row r="129" spans="3:29" x14ac:dyDescent="0.25">
      <c r="C129" s="171" t="s">
        <v>267</v>
      </c>
      <c r="E129" s="238" t="s">
        <v>659</v>
      </c>
      <c r="F129" s="171" t="s">
        <v>639</v>
      </c>
      <c r="G129" s="238" t="s">
        <v>590</v>
      </c>
      <c r="H129" s="171" t="s">
        <v>282</v>
      </c>
      <c r="I129" s="238" t="s">
        <v>474</v>
      </c>
      <c r="J129" s="171" t="s">
        <v>288</v>
      </c>
      <c r="K129" s="196" t="s">
        <v>771</v>
      </c>
      <c r="L129" s="196" t="s">
        <v>771</v>
      </c>
      <c r="M129" s="196" t="s">
        <v>771</v>
      </c>
      <c r="N129" s="196" t="s">
        <v>771</v>
      </c>
      <c r="O129" s="196" t="s">
        <v>771</v>
      </c>
      <c r="P129" s="196" t="s">
        <v>771</v>
      </c>
      <c r="Q129" s="171" t="s">
        <v>769</v>
      </c>
      <c r="R129" s="171" t="s">
        <v>726</v>
      </c>
      <c r="S129" s="171" t="s">
        <v>769</v>
      </c>
      <c r="T129" s="171" t="s">
        <v>725</v>
      </c>
      <c r="U129" s="196" t="s">
        <v>771</v>
      </c>
      <c r="V129" s="196" t="s">
        <v>771</v>
      </c>
      <c r="W129" s="196" t="s">
        <v>771</v>
      </c>
      <c r="X129" s="196" t="s">
        <v>771</v>
      </c>
      <c r="Y129" s="196" t="s">
        <v>771</v>
      </c>
      <c r="Z129" s="196" t="s">
        <v>771</v>
      </c>
      <c r="AA129" s="196" t="s">
        <v>771</v>
      </c>
      <c r="AB129" s="196" t="s">
        <v>771</v>
      </c>
      <c r="AC129" s="196" t="s">
        <v>771</v>
      </c>
    </row>
    <row r="130" spans="3:29" x14ac:dyDescent="0.25">
      <c r="C130" s="171" t="s">
        <v>274</v>
      </c>
      <c r="E130" s="238" t="s">
        <v>659</v>
      </c>
      <c r="F130" s="171" t="s">
        <v>639</v>
      </c>
      <c r="G130" s="238" t="s">
        <v>590</v>
      </c>
      <c r="H130" s="171" t="s">
        <v>282</v>
      </c>
      <c r="I130" s="238" t="s">
        <v>475</v>
      </c>
      <c r="J130" s="171" t="s">
        <v>289</v>
      </c>
      <c r="K130" s="196" t="s">
        <v>771</v>
      </c>
      <c r="L130" s="196" t="s">
        <v>771</v>
      </c>
      <c r="M130" s="196" t="s">
        <v>771</v>
      </c>
      <c r="N130" s="196" t="s">
        <v>771</v>
      </c>
      <c r="O130" s="196" t="s">
        <v>771</v>
      </c>
      <c r="P130" s="196" t="s">
        <v>771</v>
      </c>
      <c r="Q130" s="171" t="s">
        <v>769</v>
      </c>
      <c r="R130" s="171" t="s">
        <v>724</v>
      </c>
      <c r="S130" s="171" t="s">
        <v>769</v>
      </c>
      <c r="T130" s="171" t="s">
        <v>725</v>
      </c>
      <c r="U130" s="196" t="s">
        <v>771</v>
      </c>
      <c r="V130" s="196" t="s">
        <v>771</v>
      </c>
      <c r="W130" s="196" t="s">
        <v>771</v>
      </c>
      <c r="X130" s="196" t="s">
        <v>771</v>
      </c>
      <c r="Y130" s="196" t="s">
        <v>771</v>
      </c>
      <c r="Z130" s="196" t="s">
        <v>771</v>
      </c>
      <c r="AA130" s="196" t="s">
        <v>771</v>
      </c>
      <c r="AB130" s="196" t="s">
        <v>771</v>
      </c>
      <c r="AC130" s="196" t="s">
        <v>771</v>
      </c>
    </row>
    <row r="131" spans="3:29" x14ac:dyDescent="0.25">
      <c r="C131" s="171" t="s">
        <v>271</v>
      </c>
      <c r="E131" s="238" t="s">
        <v>659</v>
      </c>
      <c r="F131" s="171" t="s">
        <v>639</v>
      </c>
      <c r="G131" s="238" t="s">
        <v>591</v>
      </c>
      <c r="H131" s="171" t="s">
        <v>290</v>
      </c>
      <c r="I131" s="238" t="s">
        <v>476</v>
      </c>
      <c r="J131" s="171" t="s">
        <v>290</v>
      </c>
      <c r="K131" s="196" t="s">
        <v>771</v>
      </c>
      <c r="L131" s="196" t="s">
        <v>771</v>
      </c>
      <c r="M131" s="196" t="s">
        <v>771</v>
      </c>
      <c r="N131" s="196" t="s">
        <v>771</v>
      </c>
      <c r="O131" s="196" t="s">
        <v>771</v>
      </c>
      <c r="P131" s="196" t="s">
        <v>771</v>
      </c>
      <c r="Q131" s="171" t="s">
        <v>769</v>
      </c>
      <c r="R131" s="171" t="s">
        <v>723</v>
      </c>
      <c r="S131" s="171" t="s">
        <v>769</v>
      </c>
      <c r="T131" s="171" t="s">
        <v>712</v>
      </c>
      <c r="U131" s="196" t="s">
        <v>771</v>
      </c>
      <c r="V131" s="196" t="s">
        <v>771</v>
      </c>
      <c r="W131" s="196" t="s">
        <v>771</v>
      </c>
      <c r="X131" s="196" t="s">
        <v>771</v>
      </c>
      <c r="Y131" s="196" t="s">
        <v>771</v>
      </c>
      <c r="Z131" s="196" t="s">
        <v>771</v>
      </c>
      <c r="AA131" s="196" t="s">
        <v>771</v>
      </c>
      <c r="AB131" s="196" t="s">
        <v>771</v>
      </c>
      <c r="AC131" s="196" t="s">
        <v>771</v>
      </c>
    </row>
    <row r="132" spans="3:29" x14ac:dyDescent="0.25">
      <c r="C132" s="171" t="s">
        <v>269</v>
      </c>
      <c r="E132" s="238" t="s">
        <v>667</v>
      </c>
      <c r="F132" s="171" t="s">
        <v>644</v>
      </c>
      <c r="G132" s="238" t="s">
        <v>615</v>
      </c>
      <c r="H132" s="171" t="s">
        <v>320</v>
      </c>
      <c r="I132" s="238" t="s">
        <v>507</v>
      </c>
      <c r="J132" s="171" t="s">
        <v>320</v>
      </c>
      <c r="K132" s="196" t="s">
        <v>771</v>
      </c>
      <c r="L132" s="196" t="s">
        <v>771</v>
      </c>
      <c r="M132" s="196" t="s">
        <v>771</v>
      </c>
      <c r="N132" s="196" t="s">
        <v>771</v>
      </c>
      <c r="O132" s="196" t="s">
        <v>771</v>
      </c>
      <c r="P132" s="196" t="s">
        <v>771</v>
      </c>
      <c r="Q132" s="171" t="s">
        <v>769</v>
      </c>
      <c r="R132" s="171" t="s">
        <v>698</v>
      </c>
      <c r="S132" s="196" t="s">
        <v>771</v>
      </c>
      <c r="T132" s="196" t="s">
        <v>771</v>
      </c>
      <c r="U132" s="196" t="s">
        <v>771</v>
      </c>
      <c r="V132" s="196" t="s">
        <v>771</v>
      </c>
      <c r="W132" s="196" t="s">
        <v>771</v>
      </c>
      <c r="X132" s="196" t="s">
        <v>771</v>
      </c>
      <c r="Y132" s="196" t="s">
        <v>771</v>
      </c>
      <c r="Z132" s="196" t="s">
        <v>771</v>
      </c>
      <c r="AA132" s="196" t="s">
        <v>771</v>
      </c>
      <c r="AB132" s="196" t="s">
        <v>771</v>
      </c>
      <c r="AC132" s="196" t="s">
        <v>771</v>
      </c>
    </row>
    <row r="133" spans="3:29" x14ac:dyDescent="0.25">
      <c r="C133" s="171" t="s">
        <v>299</v>
      </c>
      <c r="E133" s="238" t="s">
        <v>667</v>
      </c>
      <c r="F133" s="171" t="s">
        <v>644</v>
      </c>
      <c r="G133" s="238" t="s">
        <v>615</v>
      </c>
      <c r="H133" s="171" t="s">
        <v>320</v>
      </c>
      <c r="I133" s="238" t="s">
        <v>508</v>
      </c>
      <c r="J133" s="171" t="s">
        <v>321</v>
      </c>
      <c r="K133" s="196" t="s">
        <v>771</v>
      </c>
      <c r="L133" s="196" t="s">
        <v>771</v>
      </c>
      <c r="M133" s="196" t="s">
        <v>771</v>
      </c>
      <c r="N133" s="196" t="s">
        <v>771</v>
      </c>
      <c r="O133" s="196" t="s">
        <v>771</v>
      </c>
      <c r="P133" s="196" t="s">
        <v>771</v>
      </c>
      <c r="Q133" s="171" t="s">
        <v>769</v>
      </c>
      <c r="R133" s="171" t="s">
        <v>698</v>
      </c>
      <c r="S133" s="196" t="s">
        <v>771</v>
      </c>
      <c r="T133" s="196" t="s">
        <v>771</v>
      </c>
      <c r="U133" s="196" t="s">
        <v>771</v>
      </c>
      <c r="V133" s="196" t="s">
        <v>771</v>
      </c>
      <c r="W133" s="196" t="s">
        <v>771</v>
      </c>
      <c r="X133" s="196" t="s">
        <v>771</v>
      </c>
      <c r="Y133" s="196" t="s">
        <v>771</v>
      </c>
      <c r="Z133" s="196" t="s">
        <v>771</v>
      </c>
      <c r="AA133" s="196" t="s">
        <v>771</v>
      </c>
      <c r="AB133" s="196" t="s">
        <v>771</v>
      </c>
      <c r="AC133" s="196" t="s">
        <v>771</v>
      </c>
    </row>
    <row r="134" spans="3:29" x14ac:dyDescent="0.25">
      <c r="C134" s="171" t="s">
        <v>988</v>
      </c>
      <c r="E134" s="238" t="s">
        <v>667</v>
      </c>
      <c r="F134" s="171" t="s">
        <v>644</v>
      </c>
      <c r="G134" s="238" t="s">
        <v>615</v>
      </c>
      <c r="H134" s="171" t="s">
        <v>320</v>
      </c>
      <c r="I134" s="238" t="s">
        <v>509</v>
      </c>
      <c r="J134" s="171" t="s">
        <v>322</v>
      </c>
      <c r="K134" s="196" t="s">
        <v>771</v>
      </c>
      <c r="L134" s="196" t="s">
        <v>771</v>
      </c>
      <c r="M134" s="196" t="s">
        <v>771</v>
      </c>
      <c r="N134" s="196" t="s">
        <v>771</v>
      </c>
      <c r="O134" s="196" t="s">
        <v>771</v>
      </c>
      <c r="P134" s="196" t="s">
        <v>771</v>
      </c>
      <c r="Q134" s="171" t="s">
        <v>769</v>
      </c>
      <c r="R134" s="171" t="s">
        <v>698</v>
      </c>
      <c r="S134" s="196" t="s">
        <v>771</v>
      </c>
      <c r="T134" s="196" t="s">
        <v>771</v>
      </c>
      <c r="U134" s="196" t="s">
        <v>771</v>
      </c>
      <c r="V134" s="196" t="s">
        <v>771</v>
      </c>
      <c r="W134" s="196" t="s">
        <v>771</v>
      </c>
      <c r="X134" s="196" t="s">
        <v>771</v>
      </c>
      <c r="Y134" s="196" t="s">
        <v>771</v>
      </c>
      <c r="Z134" s="196" t="s">
        <v>771</v>
      </c>
      <c r="AA134" s="196" t="s">
        <v>771</v>
      </c>
      <c r="AB134" s="196" t="s">
        <v>771</v>
      </c>
      <c r="AC134" s="196" t="s">
        <v>771</v>
      </c>
    </row>
    <row r="135" spans="3:29" x14ac:dyDescent="0.25">
      <c r="C135" s="171" t="s">
        <v>247</v>
      </c>
      <c r="E135" s="238" t="s">
        <v>660</v>
      </c>
      <c r="F135" s="171" t="s">
        <v>640</v>
      </c>
      <c r="G135" s="238" t="s">
        <v>592</v>
      </c>
      <c r="H135" s="171" t="s">
        <v>125</v>
      </c>
      <c r="I135" s="238" t="s">
        <v>477</v>
      </c>
      <c r="J135" s="171" t="s">
        <v>774</v>
      </c>
      <c r="K135" s="196" t="s">
        <v>771</v>
      </c>
      <c r="L135" s="196" t="s">
        <v>771</v>
      </c>
      <c r="M135" s="196" t="s">
        <v>771</v>
      </c>
      <c r="N135" s="196" t="s">
        <v>771</v>
      </c>
      <c r="O135" s="196" t="s">
        <v>771</v>
      </c>
      <c r="P135" s="196" t="s">
        <v>771</v>
      </c>
      <c r="Q135" s="171" t="s">
        <v>769</v>
      </c>
      <c r="R135" s="171" t="s">
        <v>727</v>
      </c>
      <c r="S135" s="196" t="s">
        <v>771</v>
      </c>
      <c r="T135" s="196" t="s">
        <v>771</v>
      </c>
      <c r="U135" s="196" t="s">
        <v>771</v>
      </c>
      <c r="V135" s="196" t="s">
        <v>771</v>
      </c>
      <c r="W135" s="196" t="s">
        <v>771</v>
      </c>
      <c r="X135" s="196" t="s">
        <v>771</v>
      </c>
      <c r="Y135" s="196" t="s">
        <v>771</v>
      </c>
      <c r="Z135" s="196" t="s">
        <v>771</v>
      </c>
      <c r="AA135" s="196" t="s">
        <v>771</v>
      </c>
      <c r="AB135" s="196" t="s">
        <v>771</v>
      </c>
      <c r="AC135" s="196" t="s">
        <v>771</v>
      </c>
    </row>
    <row r="136" spans="3:29" x14ac:dyDescent="0.25">
      <c r="C136" s="171" t="s">
        <v>320</v>
      </c>
      <c r="E136" s="238" t="s">
        <v>660</v>
      </c>
      <c r="F136" s="171" t="s">
        <v>640</v>
      </c>
      <c r="G136" s="238" t="s">
        <v>593</v>
      </c>
      <c r="H136" s="171" t="s">
        <v>293</v>
      </c>
      <c r="I136" s="238" t="s">
        <v>478</v>
      </c>
      <c r="J136" s="171" t="s">
        <v>293</v>
      </c>
      <c r="K136" s="196" t="s">
        <v>771</v>
      </c>
      <c r="L136" s="196" t="s">
        <v>771</v>
      </c>
      <c r="M136" s="196" t="s">
        <v>771</v>
      </c>
      <c r="N136" s="196" t="s">
        <v>771</v>
      </c>
      <c r="O136" s="196" t="s">
        <v>771</v>
      </c>
      <c r="P136" s="196" t="s">
        <v>771</v>
      </c>
      <c r="Q136" s="171" t="s">
        <v>769</v>
      </c>
      <c r="R136" s="171" t="s">
        <v>727</v>
      </c>
      <c r="S136" s="196" t="s">
        <v>771</v>
      </c>
      <c r="T136" s="196" t="s">
        <v>771</v>
      </c>
      <c r="U136" s="196" t="s">
        <v>771</v>
      </c>
      <c r="V136" s="196" t="s">
        <v>771</v>
      </c>
      <c r="W136" s="196" t="s">
        <v>771</v>
      </c>
      <c r="X136" s="196" t="s">
        <v>771</v>
      </c>
      <c r="Y136" s="196" t="s">
        <v>771</v>
      </c>
      <c r="Z136" s="196" t="s">
        <v>771</v>
      </c>
      <c r="AA136" s="196" t="s">
        <v>771</v>
      </c>
      <c r="AB136" s="196" t="s">
        <v>771</v>
      </c>
      <c r="AC136" s="196" t="s">
        <v>771</v>
      </c>
    </row>
    <row r="137" spans="3:29" x14ac:dyDescent="0.25">
      <c r="C137" s="171" t="s">
        <v>155</v>
      </c>
      <c r="E137" s="238" t="s">
        <v>660</v>
      </c>
      <c r="F137" s="171" t="s">
        <v>640</v>
      </c>
      <c r="G137" s="238" t="s">
        <v>594</v>
      </c>
      <c r="H137" s="171" t="s">
        <v>292</v>
      </c>
      <c r="I137" s="238" t="s">
        <v>479</v>
      </c>
      <c r="J137" s="171" t="s">
        <v>294</v>
      </c>
      <c r="K137" s="196" t="s">
        <v>771</v>
      </c>
      <c r="L137" s="196" t="s">
        <v>771</v>
      </c>
      <c r="M137" s="196" t="s">
        <v>771</v>
      </c>
      <c r="N137" s="196" t="s">
        <v>771</v>
      </c>
      <c r="O137" s="196" t="s">
        <v>771</v>
      </c>
      <c r="P137" s="196" t="s">
        <v>771</v>
      </c>
      <c r="Q137" s="171" t="s">
        <v>769</v>
      </c>
      <c r="R137" s="171" t="s">
        <v>727</v>
      </c>
      <c r="S137" s="196" t="s">
        <v>771</v>
      </c>
      <c r="T137" s="196" t="s">
        <v>771</v>
      </c>
      <c r="U137" s="196" t="s">
        <v>771</v>
      </c>
      <c r="V137" s="196" t="s">
        <v>771</v>
      </c>
      <c r="W137" s="196" t="s">
        <v>771</v>
      </c>
      <c r="X137" s="196" t="s">
        <v>771</v>
      </c>
      <c r="Y137" s="196" t="s">
        <v>771</v>
      </c>
      <c r="Z137" s="196" t="s">
        <v>771</v>
      </c>
      <c r="AA137" s="196" t="s">
        <v>771</v>
      </c>
      <c r="AB137" s="196" t="s">
        <v>771</v>
      </c>
      <c r="AC137" s="196" t="s">
        <v>771</v>
      </c>
    </row>
    <row r="138" spans="3:29" x14ac:dyDescent="0.25">
      <c r="C138" s="171" t="s">
        <v>244</v>
      </c>
      <c r="E138" s="238" t="s">
        <v>660</v>
      </c>
      <c r="F138" s="171" t="s">
        <v>640</v>
      </c>
      <c r="G138" s="238" t="s">
        <v>594</v>
      </c>
      <c r="H138" s="171" t="s">
        <v>292</v>
      </c>
      <c r="I138" s="238" t="s">
        <v>480</v>
      </c>
      <c r="J138" s="171" t="s">
        <v>295</v>
      </c>
      <c r="K138" s="196" t="s">
        <v>771</v>
      </c>
      <c r="L138" s="196" t="s">
        <v>771</v>
      </c>
      <c r="M138" s="196" t="s">
        <v>771</v>
      </c>
      <c r="N138" s="196" t="s">
        <v>771</v>
      </c>
      <c r="O138" s="196" t="s">
        <v>771</v>
      </c>
      <c r="P138" s="196" t="s">
        <v>771</v>
      </c>
      <c r="Q138" s="171" t="s">
        <v>769</v>
      </c>
      <c r="R138" s="171" t="s">
        <v>727</v>
      </c>
      <c r="S138" s="196" t="s">
        <v>771</v>
      </c>
      <c r="T138" s="196" t="s">
        <v>771</v>
      </c>
      <c r="U138" s="196" t="s">
        <v>771</v>
      </c>
      <c r="V138" s="196" t="s">
        <v>771</v>
      </c>
      <c r="W138" s="196" t="s">
        <v>771</v>
      </c>
      <c r="X138" s="196" t="s">
        <v>771</v>
      </c>
      <c r="Y138" s="196" t="s">
        <v>771</v>
      </c>
      <c r="Z138" s="196" t="s">
        <v>771</v>
      </c>
      <c r="AA138" s="196" t="s">
        <v>771</v>
      </c>
      <c r="AB138" s="196" t="s">
        <v>771</v>
      </c>
      <c r="AC138" s="196" t="s">
        <v>771</v>
      </c>
    </row>
    <row r="139" spans="3:29" x14ac:dyDescent="0.25">
      <c r="C139" s="171" t="s">
        <v>987</v>
      </c>
      <c r="E139" s="238" t="s">
        <v>660</v>
      </c>
      <c r="F139" s="171" t="s">
        <v>640</v>
      </c>
      <c r="G139" s="238" t="s">
        <v>594</v>
      </c>
      <c r="H139" s="171" t="s">
        <v>292</v>
      </c>
      <c r="I139" s="238" t="s">
        <v>481</v>
      </c>
      <c r="J139" s="171" t="s">
        <v>296</v>
      </c>
      <c r="K139" s="196" t="s">
        <v>771</v>
      </c>
      <c r="L139" s="196" t="s">
        <v>771</v>
      </c>
      <c r="M139" s="196" t="s">
        <v>771</v>
      </c>
      <c r="N139" s="196" t="s">
        <v>771</v>
      </c>
      <c r="O139" s="196" t="s">
        <v>771</v>
      </c>
      <c r="P139" s="196" t="s">
        <v>771</v>
      </c>
      <c r="Q139" s="171" t="s">
        <v>769</v>
      </c>
      <c r="R139" s="171" t="s">
        <v>727</v>
      </c>
      <c r="S139" s="196" t="s">
        <v>771</v>
      </c>
      <c r="T139" s="196" t="s">
        <v>771</v>
      </c>
      <c r="U139" s="196" t="s">
        <v>771</v>
      </c>
      <c r="V139" s="196" t="s">
        <v>771</v>
      </c>
      <c r="W139" s="196" t="s">
        <v>771</v>
      </c>
      <c r="X139" s="196" t="s">
        <v>771</v>
      </c>
      <c r="Y139" s="196" t="s">
        <v>771</v>
      </c>
      <c r="Z139" s="196" t="s">
        <v>771</v>
      </c>
      <c r="AA139" s="196" t="s">
        <v>771</v>
      </c>
      <c r="AB139" s="196" t="s">
        <v>771</v>
      </c>
      <c r="AC139" s="196" t="s">
        <v>771</v>
      </c>
    </row>
    <row r="140" spans="3:29" x14ac:dyDescent="0.25">
      <c r="C140" s="171" t="s">
        <v>308</v>
      </c>
      <c r="E140" s="238" t="s">
        <v>660</v>
      </c>
      <c r="F140" s="171" t="s">
        <v>640</v>
      </c>
      <c r="G140" s="238" t="s">
        <v>595</v>
      </c>
      <c r="H140" s="171" t="s">
        <v>291</v>
      </c>
      <c r="I140" s="238" t="s">
        <v>482</v>
      </c>
      <c r="J140" s="171" t="s">
        <v>297</v>
      </c>
      <c r="K140" s="196" t="s">
        <v>771</v>
      </c>
      <c r="L140" s="196" t="s">
        <v>771</v>
      </c>
      <c r="M140" s="196" t="s">
        <v>771</v>
      </c>
      <c r="N140" s="196" t="s">
        <v>771</v>
      </c>
      <c r="O140" s="196" t="s">
        <v>771</v>
      </c>
      <c r="P140" s="196" t="s">
        <v>771</v>
      </c>
      <c r="Q140" s="171" t="s">
        <v>769</v>
      </c>
      <c r="R140" s="171" t="s">
        <v>727</v>
      </c>
      <c r="S140" s="196" t="s">
        <v>771</v>
      </c>
      <c r="T140" s="196" t="s">
        <v>771</v>
      </c>
      <c r="U140" s="196" t="s">
        <v>771</v>
      </c>
      <c r="V140" s="196" t="s">
        <v>771</v>
      </c>
      <c r="W140" s="196" t="s">
        <v>771</v>
      </c>
      <c r="X140" s="196" t="s">
        <v>771</v>
      </c>
      <c r="Y140" s="196" t="s">
        <v>771</v>
      </c>
      <c r="Z140" s="196" t="s">
        <v>771</v>
      </c>
      <c r="AA140" s="196" t="s">
        <v>771</v>
      </c>
      <c r="AB140" s="196" t="s">
        <v>771</v>
      </c>
      <c r="AC140" s="196" t="s">
        <v>771</v>
      </c>
    </row>
    <row r="141" spans="3:29" x14ac:dyDescent="0.25">
      <c r="C141" s="171" t="s">
        <v>255</v>
      </c>
      <c r="E141" s="238" t="s">
        <v>660</v>
      </c>
      <c r="F141" s="171" t="s">
        <v>640</v>
      </c>
      <c r="G141" s="238" t="s">
        <v>595</v>
      </c>
      <c r="H141" s="171" t="s">
        <v>291</v>
      </c>
      <c r="I141" s="238" t="s">
        <v>483</v>
      </c>
      <c r="J141" s="171" t="s">
        <v>298</v>
      </c>
      <c r="K141" s="196" t="s">
        <v>771</v>
      </c>
      <c r="L141" s="196" t="s">
        <v>771</v>
      </c>
      <c r="M141" s="196" t="s">
        <v>771</v>
      </c>
      <c r="N141" s="196" t="s">
        <v>771</v>
      </c>
      <c r="O141" s="196" t="s">
        <v>771</v>
      </c>
      <c r="P141" s="196" t="s">
        <v>771</v>
      </c>
      <c r="Q141" s="171" t="s">
        <v>769</v>
      </c>
      <c r="R141" s="171" t="s">
        <v>727</v>
      </c>
      <c r="S141" s="196" t="s">
        <v>771</v>
      </c>
      <c r="T141" s="196" t="s">
        <v>771</v>
      </c>
      <c r="U141" s="196" t="s">
        <v>771</v>
      </c>
      <c r="V141" s="196" t="s">
        <v>771</v>
      </c>
      <c r="W141" s="196" t="s">
        <v>771</v>
      </c>
      <c r="X141" s="196" t="s">
        <v>771</v>
      </c>
      <c r="Y141" s="196" t="s">
        <v>771</v>
      </c>
      <c r="Z141" s="196" t="s">
        <v>771</v>
      </c>
      <c r="AA141" s="196" t="s">
        <v>771</v>
      </c>
      <c r="AB141" s="196" t="s">
        <v>771</v>
      </c>
      <c r="AC141" s="196" t="s">
        <v>771</v>
      </c>
    </row>
    <row r="142" spans="3:29" x14ac:dyDescent="0.25">
      <c r="C142" s="171" t="s">
        <v>982</v>
      </c>
      <c r="E142" s="238" t="s">
        <v>660</v>
      </c>
      <c r="F142" s="171" t="s">
        <v>640</v>
      </c>
      <c r="G142" s="238" t="s">
        <v>595</v>
      </c>
      <c r="H142" s="171" t="s">
        <v>291</v>
      </c>
      <c r="I142" s="238" t="s">
        <v>484</v>
      </c>
      <c r="J142" s="171" t="s">
        <v>299</v>
      </c>
      <c r="K142" s="196" t="s">
        <v>771</v>
      </c>
      <c r="L142" s="196" t="s">
        <v>771</v>
      </c>
      <c r="M142" s="196" t="s">
        <v>771</v>
      </c>
      <c r="N142" s="196" t="s">
        <v>771</v>
      </c>
      <c r="O142" s="196" t="s">
        <v>771</v>
      </c>
      <c r="P142" s="196" t="s">
        <v>771</v>
      </c>
      <c r="Q142" s="171" t="s">
        <v>769</v>
      </c>
      <c r="R142" s="171" t="s">
        <v>727</v>
      </c>
      <c r="S142" s="196" t="s">
        <v>771</v>
      </c>
      <c r="T142" s="196" t="s">
        <v>771</v>
      </c>
      <c r="U142" s="196" t="s">
        <v>771</v>
      </c>
      <c r="V142" s="196" t="s">
        <v>771</v>
      </c>
      <c r="W142" s="196" t="s">
        <v>771</v>
      </c>
      <c r="X142" s="196" t="s">
        <v>771</v>
      </c>
      <c r="Y142" s="196" t="s">
        <v>771</v>
      </c>
      <c r="Z142" s="196" t="s">
        <v>771</v>
      </c>
      <c r="AA142" s="196" t="s">
        <v>771</v>
      </c>
      <c r="AB142" s="196" t="s">
        <v>771</v>
      </c>
      <c r="AC142" s="196" t="s">
        <v>771</v>
      </c>
    </row>
    <row r="143" spans="3:29" x14ac:dyDescent="0.25">
      <c r="C143" s="171" t="s">
        <v>954</v>
      </c>
      <c r="E143" s="238" t="s">
        <v>669</v>
      </c>
      <c r="F143" s="171" t="s">
        <v>329</v>
      </c>
      <c r="G143" s="238" t="s">
        <v>621</v>
      </c>
      <c r="H143" s="171" t="s">
        <v>329</v>
      </c>
      <c r="I143" s="238" t="s">
        <v>515</v>
      </c>
      <c r="J143" s="171" t="s">
        <v>329</v>
      </c>
      <c r="K143" s="196" t="s">
        <v>771</v>
      </c>
      <c r="L143" s="196" t="s">
        <v>771</v>
      </c>
      <c r="M143" s="196" t="s">
        <v>771</v>
      </c>
      <c r="N143" s="196" t="s">
        <v>771</v>
      </c>
      <c r="O143" s="196" t="s">
        <v>771</v>
      </c>
      <c r="P143" s="196" t="s">
        <v>771</v>
      </c>
      <c r="Q143" s="171" t="s">
        <v>769</v>
      </c>
      <c r="R143" s="171" t="s">
        <v>764</v>
      </c>
      <c r="S143" s="196" t="s">
        <v>771</v>
      </c>
      <c r="T143" s="196" t="s">
        <v>771</v>
      </c>
      <c r="U143" s="196" t="s">
        <v>771</v>
      </c>
      <c r="V143" s="196" t="s">
        <v>771</v>
      </c>
      <c r="W143" s="196" t="s">
        <v>771</v>
      </c>
      <c r="X143" s="196" t="s">
        <v>771</v>
      </c>
      <c r="Y143" s="196" t="s">
        <v>771</v>
      </c>
      <c r="Z143" s="196" t="s">
        <v>771</v>
      </c>
      <c r="AA143" s="196" t="s">
        <v>771</v>
      </c>
      <c r="AB143" s="196" t="s">
        <v>771</v>
      </c>
      <c r="AC143" s="196" t="s">
        <v>771</v>
      </c>
    </row>
    <row r="144" spans="3:29" x14ac:dyDescent="0.25">
      <c r="C144" s="171" t="s">
        <v>193</v>
      </c>
      <c r="E144" s="238" t="s">
        <v>647</v>
      </c>
      <c r="F144" s="171" t="s">
        <v>628</v>
      </c>
      <c r="G144" s="238" t="s">
        <v>672</v>
      </c>
      <c r="H144" s="171" t="s">
        <v>115</v>
      </c>
      <c r="I144" s="238" t="s">
        <v>340</v>
      </c>
      <c r="J144" s="171" t="s">
        <v>115</v>
      </c>
      <c r="K144" s="196" t="s">
        <v>771</v>
      </c>
      <c r="L144" s="196" t="s">
        <v>771</v>
      </c>
      <c r="M144" s="196" t="s">
        <v>771</v>
      </c>
      <c r="N144" s="196" t="s">
        <v>771</v>
      </c>
      <c r="O144" s="196" t="s">
        <v>771</v>
      </c>
      <c r="P144" s="196" t="s">
        <v>771</v>
      </c>
      <c r="Q144" s="171" t="s">
        <v>769</v>
      </c>
      <c r="R144" s="171" t="s">
        <v>678</v>
      </c>
      <c r="S144" s="171" t="s">
        <v>769</v>
      </c>
      <c r="T144" s="171" t="s">
        <v>679</v>
      </c>
      <c r="U144" s="196" t="s">
        <v>771</v>
      </c>
      <c r="V144" s="196" t="s">
        <v>771</v>
      </c>
      <c r="W144" s="196" t="s">
        <v>771</v>
      </c>
      <c r="X144" s="196" t="s">
        <v>771</v>
      </c>
      <c r="Y144" s="196" t="s">
        <v>771</v>
      </c>
      <c r="Z144" s="196" t="s">
        <v>771</v>
      </c>
      <c r="AA144" s="196" t="s">
        <v>771</v>
      </c>
      <c r="AB144" s="196" t="s">
        <v>771</v>
      </c>
      <c r="AC144" s="196" t="s">
        <v>771</v>
      </c>
    </row>
    <row r="145" spans="3:29" x14ac:dyDescent="0.25">
      <c r="C145" s="171" t="s">
        <v>243</v>
      </c>
      <c r="E145" s="238" t="s">
        <v>647</v>
      </c>
      <c r="F145" s="171" t="s">
        <v>628</v>
      </c>
      <c r="G145" s="238" t="s">
        <v>522</v>
      </c>
      <c r="H145" s="171" t="s">
        <v>116</v>
      </c>
      <c r="I145" s="238" t="s">
        <v>344</v>
      </c>
      <c r="J145" s="171" t="s">
        <v>130</v>
      </c>
      <c r="K145" s="196" t="s">
        <v>771</v>
      </c>
      <c r="L145" s="196" t="s">
        <v>771</v>
      </c>
      <c r="M145" s="196" t="s">
        <v>771</v>
      </c>
      <c r="N145" s="196" t="s">
        <v>771</v>
      </c>
      <c r="O145" s="196" t="s">
        <v>771</v>
      </c>
      <c r="P145" s="196" t="s">
        <v>771</v>
      </c>
      <c r="Q145" s="171" t="s">
        <v>769</v>
      </c>
      <c r="R145" s="171" t="s">
        <v>678</v>
      </c>
      <c r="S145" s="171" t="s">
        <v>769</v>
      </c>
      <c r="T145" s="171" t="s">
        <v>679</v>
      </c>
      <c r="U145" s="196" t="s">
        <v>771</v>
      </c>
      <c r="V145" s="196" t="s">
        <v>771</v>
      </c>
      <c r="W145" s="196" t="s">
        <v>771</v>
      </c>
      <c r="X145" s="196" t="s">
        <v>771</v>
      </c>
      <c r="Y145" s="196" t="s">
        <v>771</v>
      </c>
      <c r="Z145" s="196" t="s">
        <v>771</v>
      </c>
      <c r="AA145" s="196" t="s">
        <v>771</v>
      </c>
      <c r="AB145" s="196" t="s">
        <v>771</v>
      </c>
      <c r="AC145" s="196" t="s">
        <v>771</v>
      </c>
    </row>
    <row r="146" spans="3:29" x14ac:dyDescent="0.25">
      <c r="C146" s="171" t="s">
        <v>326</v>
      </c>
      <c r="E146" s="238" t="s">
        <v>647</v>
      </c>
      <c r="F146" s="171" t="s">
        <v>628</v>
      </c>
      <c r="G146" s="238" t="s">
        <v>522</v>
      </c>
      <c r="H146" s="171" t="s">
        <v>116</v>
      </c>
      <c r="I146" s="238" t="s">
        <v>345</v>
      </c>
      <c r="J146" s="171" t="s">
        <v>131</v>
      </c>
      <c r="K146" s="196" t="s">
        <v>771</v>
      </c>
      <c r="L146" s="196" t="s">
        <v>771</v>
      </c>
      <c r="M146" s="196" t="s">
        <v>771</v>
      </c>
      <c r="N146" s="196" t="s">
        <v>771</v>
      </c>
      <c r="O146" s="196" t="s">
        <v>771</v>
      </c>
      <c r="P146" s="196" t="s">
        <v>771</v>
      </c>
      <c r="Q146" s="171" t="s">
        <v>769</v>
      </c>
      <c r="R146" s="171" t="s">
        <v>678</v>
      </c>
      <c r="S146" s="171" t="s">
        <v>769</v>
      </c>
      <c r="T146" s="171" t="s">
        <v>679</v>
      </c>
      <c r="U146" s="196" t="s">
        <v>771</v>
      </c>
      <c r="V146" s="196" t="s">
        <v>771</v>
      </c>
      <c r="W146" s="196" t="s">
        <v>771</v>
      </c>
      <c r="X146" s="196" t="s">
        <v>771</v>
      </c>
      <c r="Y146" s="196" t="s">
        <v>771</v>
      </c>
      <c r="Z146" s="196" t="s">
        <v>771</v>
      </c>
      <c r="AA146" s="196" t="s">
        <v>771</v>
      </c>
      <c r="AB146" s="196" t="s">
        <v>771</v>
      </c>
      <c r="AC146" s="196" t="s">
        <v>771</v>
      </c>
    </row>
    <row r="147" spans="3:29" x14ac:dyDescent="0.25">
      <c r="C147" s="171" t="s">
        <v>224</v>
      </c>
      <c r="E147" s="238" t="s">
        <v>647</v>
      </c>
      <c r="F147" s="171" t="s">
        <v>628</v>
      </c>
      <c r="G147" s="238" t="s">
        <v>523</v>
      </c>
      <c r="H147" s="171" t="s">
        <v>117</v>
      </c>
      <c r="I147" s="238" t="s">
        <v>346</v>
      </c>
      <c r="J147" s="171" t="s">
        <v>117</v>
      </c>
      <c r="K147" s="196" t="s">
        <v>771</v>
      </c>
      <c r="L147" s="196" t="s">
        <v>771</v>
      </c>
      <c r="M147" s="196" t="s">
        <v>771</v>
      </c>
      <c r="N147" s="196" t="s">
        <v>771</v>
      </c>
      <c r="O147" s="196" t="s">
        <v>771</v>
      </c>
      <c r="P147" s="196" t="s">
        <v>771</v>
      </c>
      <c r="Q147" s="171" t="s">
        <v>769</v>
      </c>
      <c r="R147" s="171" t="s">
        <v>678</v>
      </c>
      <c r="S147" s="171" t="s">
        <v>769</v>
      </c>
      <c r="T147" s="171" t="s">
        <v>679</v>
      </c>
      <c r="U147" s="196" t="s">
        <v>771</v>
      </c>
      <c r="V147" s="196" t="s">
        <v>771</v>
      </c>
      <c r="W147" s="196" t="s">
        <v>771</v>
      </c>
      <c r="X147" s="196" t="s">
        <v>771</v>
      </c>
      <c r="Y147" s="196" t="s">
        <v>771</v>
      </c>
      <c r="Z147" s="196" t="s">
        <v>771</v>
      </c>
      <c r="AA147" s="196" t="s">
        <v>771</v>
      </c>
      <c r="AB147" s="196" t="s">
        <v>771</v>
      </c>
      <c r="AC147" s="196" t="s">
        <v>771</v>
      </c>
    </row>
    <row r="148" spans="3:29" x14ac:dyDescent="0.25">
      <c r="C148" s="171" t="s">
        <v>135</v>
      </c>
      <c r="E148" s="238" t="s">
        <v>647</v>
      </c>
      <c r="F148" s="171" t="s">
        <v>628</v>
      </c>
      <c r="G148" s="238" t="s">
        <v>524</v>
      </c>
      <c r="H148" s="171" t="s">
        <v>118</v>
      </c>
      <c r="I148" s="238" t="s">
        <v>347</v>
      </c>
      <c r="J148" s="171" t="s">
        <v>132</v>
      </c>
      <c r="K148" s="196" t="s">
        <v>771</v>
      </c>
      <c r="L148" s="196" t="s">
        <v>771</v>
      </c>
      <c r="M148" s="196" t="s">
        <v>771</v>
      </c>
      <c r="N148" s="196" t="s">
        <v>771</v>
      </c>
      <c r="O148" s="196" t="s">
        <v>771</v>
      </c>
      <c r="P148" s="196" t="s">
        <v>771</v>
      </c>
      <c r="Q148" s="171" t="s">
        <v>769</v>
      </c>
      <c r="R148" s="171" t="s">
        <v>678</v>
      </c>
      <c r="S148" s="171" t="s">
        <v>769</v>
      </c>
      <c r="T148" s="171" t="s">
        <v>679</v>
      </c>
      <c r="U148" s="196" t="s">
        <v>771</v>
      </c>
      <c r="V148" s="196" t="s">
        <v>771</v>
      </c>
      <c r="W148" s="196" t="s">
        <v>771</v>
      </c>
      <c r="X148" s="196" t="s">
        <v>771</v>
      </c>
      <c r="Y148" s="196" t="s">
        <v>771</v>
      </c>
      <c r="Z148" s="196" t="s">
        <v>771</v>
      </c>
      <c r="AA148" s="196" t="s">
        <v>771</v>
      </c>
      <c r="AB148" s="196" t="s">
        <v>771</v>
      </c>
      <c r="AC148" s="196" t="s">
        <v>771</v>
      </c>
    </row>
    <row r="149" spans="3:29" x14ac:dyDescent="0.25">
      <c r="C149" s="171" t="s">
        <v>961</v>
      </c>
      <c r="E149" s="238" t="s">
        <v>647</v>
      </c>
      <c r="F149" s="171" t="s">
        <v>628</v>
      </c>
      <c r="G149" s="238" t="s">
        <v>524</v>
      </c>
      <c r="H149" s="171" t="s">
        <v>118</v>
      </c>
      <c r="I149" s="238" t="s">
        <v>348</v>
      </c>
      <c r="J149" s="171" t="s">
        <v>133</v>
      </c>
      <c r="K149" s="196" t="s">
        <v>771</v>
      </c>
      <c r="L149" s="196" t="s">
        <v>771</v>
      </c>
      <c r="M149" s="196" t="s">
        <v>771</v>
      </c>
      <c r="N149" s="196" t="s">
        <v>771</v>
      </c>
      <c r="O149" s="196" t="s">
        <v>771</v>
      </c>
      <c r="P149" s="196" t="s">
        <v>771</v>
      </c>
      <c r="Q149" s="171" t="s">
        <v>769</v>
      </c>
      <c r="R149" s="171" t="s">
        <v>678</v>
      </c>
      <c r="S149" s="171" t="s">
        <v>769</v>
      </c>
      <c r="T149" s="171" t="s">
        <v>679</v>
      </c>
      <c r="U149" s="196" t="s">
        <v>771</v>
      </c>
      <c r="V149" s="196" t="s">
        <v>771</v>
      </c>
      <c r="W149" s="196" t="s">
        <v>771</v>
      </c>
      <c r="X149" s="196" t="s">
        <v>771</v>
      </c>
      <c r="Y149" s="196" t="s">
        <v>771</v>
      </c>
      <c r="Z149" s="196" t="s">
        <v>771</v>
      </c>
      <c r="AA149" s="196" t="s">
        <v>771</v>
      </c>
      <c r="AB149" s="196" t="s">
        <v>771</v>
      </c>
      <c r="AC149" s="196" t="s">
        <v>771</v>
      </c>
    </row>
    <row r="150" spans="3:29" x14ac:dyDescent="0.25">
      <c r="C150" s="171" t="s">
        <v>216</v>
      </c>
      <c r="E150" s="238" t="s">
        <v>647</v>
      </c>
      <c r="F150" s="171" t="s">
        <v>628</v>
      </c>
      <c r="G150" s="238" t="s">
        <v>525</v>
      </c>
      <c r="H150" s="171" t="s">
        <v>119</v>
      </c>
      <c r="I150" s="238" t="s">
        <v>349</v>
      </c>
      <c r="J150" s="171" t="s">
        <v>134</v>
      </c>
      <c r="K150" s="196" t="s">
        <v>771</v>
      </c>
      <c r="L150" s="196" t="s">
        <v>771</v>
      </c>
      <c r="M150" s="196" t="s">
        <v>771</v>
      </c>
      <c r="N150" s="196" t="s">
        <v>771</v>
      </c>
      <c r="O150" s="196" t="s">
        <v>771</v>
      </c>
      <c r="P150" s="196" t="s">
        <v>771</v>
      </c>
      <c r="Q150" s="171" t="s">
        <v>769</v>
      </c>
      <c r="R150" s="171" t="s">
        <v>678</v>
      </c>
      <c r="S150" s="171" t="s">
        <v>769</v>
      </c>
      <c r="T150" s="171" t="s">
        <v>679</v>
      </c>
      <c r="U150" s="196" t="s">
        <v>771</v>
      </c>
      <c r="V150" s="196" t="s">
        <v>771</v>
      </c>
      <c r="W150" s="196" t="s">
        <v>771</v>
      </c>
      <c r="X150" s="196" t="s">
        <v>771</v>
      </c>
      <c r="Y150" s="196" t="s">
        <v>771</v>
      </c>
      <c r="Z150" s="196" t="s">
        <v>771</v>
      </c>
      <c r="AA150" s="196" t="s">
        <v>771</v>
      </c>
      <c r="AB150" s="196" t="s">
        <v>771</v>
      </c>
      <c r="AC150" s="196" t="s">
        <v>771</v>
      </c>
    </row>
    <row r="151" spans="3:29" x14ac:dyDescent="0.25">
      <c r="C151" s="171" t="s">
        <v>253</v>
      </c>
      <c r="E151" s="238" t="s">
        <v>647</v>
      </c>
      <c r="F151" s="171" t="s">
        <v>628</v>
      </c>
      <c r="G151" s="238" t="s">
        <v>525</v>
      </c>
      <c r="H151" s="171" t="s">
        <v>119</v>
      </c>
      <c r="I151" s="238" t="s">
        <v>350</v>
      </c>
      <c r="J151" s="171" t="s">
        <v>135</v>
      </c>
      <c r="K151" s="196" t="s">
        <v>771</v>
      </c>
      <c r="L151" s="196" t="s">
        <v>771</v>
      </c>
      <c r="M151" s="196" t="s">
        <v>771</v>
      </c>
      <c r="N151" s="196" t="s">
        <v>771</v>
      </c>
      <c r="O151" s="196" t="s">
        <v>771</v>
      </c>
      <c r="P151" s="196" t="s">
        <v>771</v>
      </c>
      <c r="Q151" s="171" t="s">
        <v>769</v>
      </c>
      <c r="R151" s="171" t="s">
        <v>678</v>
      </c>
      <c r="S151" s="171" t="s">
        <v>769</v>
      </c>
      <c r="T151" s="171" t="s">
        <v>679</v>
      </c>
      <c r="U151" s="196" t="s">
        <v>771</v>
      </c>
      <c r="V151" s="196" t="s">
        <v>771</v>
      </c>
      <c r="W151" s="196" t="s">
        <v>771</v>
      </c>
      <c r="X151" s="196" t="s">
        <v>771</v>
      </c>
      <c r="Y151" s="196" t="s">
        <v>771</v>
      </c>
      <c r="Z151" s="196" t="s">
        <v>771</v>
      </c>
      <c r="AA151" s="196" t="s">
        <v>771</v>
      </c>
      <c r="AB151" s="196" t="s">
        <v>771</v>
      </c>
      <c r="AC151" s="196" t="s">
        <v>771</v>
      </c>
    </row>
    <row r="152" spans="3:29" x14ac:dyDescent="0.25">
      <c r="C152" s="171" t="s">
        <v>150</v>
      </c>
      <c r="E152" s="238" t="s">
        <v>647</v>
      </c>
      <c r="F152" s="171" t="s">
        <v>628</v>
      </c>
      <c r="G152" s="238" t="s">
        <v>525</v>
      </c>
      <c r="H152" s="171" t="s">
        <v>119</v>
      </c>
      <c r="I152" s="238" t="s">
        <v>351</v>
      </c>
      <c r="J152" s="171" t="s">
        <v>136</v>
      </c>
      <c r="K152" s="196" t="s">
        <v>771</v>
      </c>
      <c r="L152" s="196" t="s">
        <v>771</v>
      </c>
      <c r="M152" s="196" t="s">
        <v>771</v>
      </c>
      <c r="N152" s="196" t="s">
        <v>771</v>
      </c>
      <c r="O152" s="196" t="s">
        <v>771</v>
      </c>
      <c r="P152" s="196" t="s">
        <v>771</v>
      </c>
      <c r="Q152" s="171" t="s">
        <v>769</v>
      </c>
      <c r="R152" s="171" t="s">
        <v>678</v>
      </c>
      <c r="S152" s="171" t="s">
        <v>769</v>
      </c>
      <c r="T152" s="171" t="s">
        <v>679</v>
      </c>
      <c r="U152" s="196" t="s">
        <v>771</v>
      </c>
      <c r="V152" s="196" t="s">
        <v>771</v>
      </c>
      <c r="W152" s="196" t="s">
        <v>771</v>
      </c>
      <c r="X152" s="196" t="s">
        <v>771</v>
      </c>
      <c r="Y152" s="196" t="s">
        <v>771</v>
      </c>
      <c r="Z152" s="196" t="s">
        <v>771</v>
      </c>
      <c r="AA152" s="196" t="s">
        <v>771</v>
      </c>
      <c r="AB152" s="196" t="s">
        <v>771</v>
      </c>
      <c r="AC152" s="196" t="s">
        <v>771</v>
      </c>
    </row>
    <row r="153" spans="3:29" x14ac:dyDescent="0.25">
      <c r="C153" s="171" t="s">
        <v>983</v>
      </c>
      <c r="E153" s="238" t="s">
        <v>647</v>
      </c>
      <c r="F153" s="171" t="s">
        <v>628</v>
      </c>
      <c r="G153" s="238" t="s">
        <v>525</v>
      </c>
      <c r="H153" s="171" t="s">
        <v>119</v>
      </c>
      <c r="I153" s="238" t="s">
        <v>352</v>
      </c>
      <c r="J153" s="171" t="s">
        <v>137</v>
      </c>
      <c r="K153" s="196" t="s">
        <v>771</v>
      </c>
      <c r="L153" s="196" t="s">
        <v>771</v>
      </c>
      <c r="M153" s="196" t="s">
        <v>771</v>
      </c>
      <c r="N153" s="196" t="s">
        <v>771</v>
      </c>
      <c r="O153" s="196" t="s">
        <v>771</v>
      </c>
      <c r="P153" s="196" t="s">
        <v>771</v>
      </c>
      <c r="Q153" s="171" t="s">
        <v>769</v>
      </c>
      <c r="R153" s="171" t="s">
        <v>678</v>
      </c>
      <c r="S153" s="171" t="s">
        <v>769</v>
      </c>
      <c r="T153" s="171" t="s">
        <v>679</v>
      </c>
      <c r="U153" s="196" t="s">
        <v>771</v>
      </c>
      <c r="V153" s="196" t="s">
        <v>771</v>
      </c>
      <c r="W153" s="196" t="s">
        <v>771</v>
      </c>
      <c r="X153" s="196" t="s">
        <v>771</v>
      </c>
      <c r="Y153" s="196" t="s">
        <v>771</v>
      </c>
      <c r="Z153" s="196" t="s">
        <v>771</v>
      </c>
      <c r="AA153" s="196" t="s">
        <v>771</v>
      </c>
      <c r="AB153" s="196" t="s">
        <v>771</v>
      </c>
      <c r="AC153" s="196" t="s">
        <v>771</v>
      </c>
    </row>
    <row r="154" spans="3:29" x14ac:dyDescent="0.25">
      <c r="C154" s="171" t="s">
        <v>281</v>
      </c>
      <c r="E154" s="238" t="s">
        <v>647</v>
      </c>
      <c r="F154" s="171" t="s">
        <v>628</v>
      </c>
      <c r="G154" s="238" t="s">
        <v>525</v>
      </c>
      <c r="H154" s="171" t="s">
        <v>119</v>
      </c>
      <c r="I154" s="238" t="s">
        <v>353</v>
      </c>
      <c r="J154" s="171" t="s">
        <v>138</v>
      </c>
      <c r="K154" s="196" t="s">
        <v>771</v>
      </c>
      <c r="L154" s="196" t="s">
        <v>771</v>
      </c>
      <c r="M154" s="196" t="s">
        <v>771</v>
      </c>
      <c r="N154" s="196" t="s">
        <v>771</v>
      </c>
      <c r="O154" s="196" t="s">
        <v>771</v>
      </c>
      <c r="P154" s="196" t="s">
        <v>771</v>
      </c>
      <c r="Q154" s="171" t="s">
        <v>769</v>
      </c>
      <c r="R154" s="171" t="s">
        <v>678</v>
      </c>
      <c r="S154" s="171" t="s">
        <v>769</v>
      </c>
      <c r="T154" s="171" t="s">
        <v>679</v>
      </c>
      <c r="U154" s="196" t="s">
        <v>771</v>
      </c>
      <c r="V154" s="196" t="s">
        <v>771</v>
      </c>
      <c r="W154" s="196" t="s">
        <v>771</v>
      </c>
      <c r="X154" s="196" t="s">
        <v>771</v>
      </c>
      <c r="Y154" s="196" t="s">
        <v>771</v>
      </c>
      <c r="Z154" s="196" t="s">
        <v>771</v>
      </c>
      <c r="AA154" s="196" t="s">
        <v>771</v>
      </c>
      <c r="AB154" s="196" t="s">
        <v>771</v>
      </c>
      <c r="AC154" s="196" t="s">
        <v>771</v>
      </c>
    </row>
    <row r="155" spans="3:29" x14ac:dyDescent="0.25">
      <c r="C155" s="171" t="s">
        <v>121</v>
      </c>
      <c r="E155" s="238" t="s">
        <v>647</v>
      </c>
      <c r="F155" s="171" t="s">
        <v>628</v>
      </c>
      <c r="G155" s="238" t="s">
        <v>526</v>
      </c>
      <c r="H155" s="171" t="s">
        <v>120</v>
      </c>
      <c r="I155" s="238" t="s">
        <v>354</v>
      </c>
      <c r="J155" s="171" t="s">
        <v>139</v>
      </c>
      <c r="K155" s="196" t="s">
        <v>771</v>
      </c>
      <c r="L155" s="196" t="s">
        <v>771</v>
      </c>
      <c r="M155" s="196" t="s">
        <v>771</v>
      </c>
      <c r="N155" s="196" t="s">
        <v>771</v>
      </c>
      <c r="O155" s="196" t="s">
        <v>771</v>
      </c>
      <c r="P155" s="196" t="s">
        <v>771</v>
      </c>
      <c r="Q155" s="171" t="s">
        <v>769</v>
      </c>
      <c r="R155" s="171" t="s">
        <v>678</v>
      </c>
      <c r="S155" s="171" t="s">
        <v>769</v>
      </c>
      <c r="T155" s="171" t="s">
        <v>679</v>
      </c>
      <c r="U155" s="196" t="s">
        <v>771</v>
      </c>
      <c r="V155" s="196" t="s">
        <v>771</v>
      </c>
      <c r="W155" s="196" t="s">
        <v>771</v>
      </c>
      <c r="X155" s="196" t="s">
        <v>771</v>
      </c>
      <c r="Y155" s="196" t="s">
        <v>771</v>
      </c>
      <c r="Z155" s="196" t="s">
        <v>771</v>
      </c>
      <c r="AA155" s="196" t="s">
        <v>771</v>
      </c>
      <c r="AB155" s="196" t="s">
        <v>771</v>
      </c>
      <c r="AC155" s="196" t="s">
        <v>771</v>
      </c>
    </row>
    <row r="156" spans="3:29" x14ac:dyDescent="0.25">
      <c r="C156" s="171" t="s">
        <v>256</v>
      </c>
      <c r="E156" s="238" t="s">
        <v>647</v>
      </c>
      <c r="F156" s="171" t="s">
        <v>628</v>
      </c>
      <c r="G156" s="238" t="s">
        <v>527</v>
      </c>
      <c r="H156" s="171" t="s">
        <v>121</v>
      </c>
      <c r="I156" s="238" t="s">
        <v>355</v>
      </c>
      <c r="J156" s="171" t="s">
        <v>121</v>
      </c>
      <c r="K156" s="196" t="s">
        <v>771</v>
      </c>
      <c r="L156" s="196" t="s">
        <v>771</v>
      </c>
      <c r="M156" s="196" t="s">
        <v>771</v>
      </c>
      <c r="N156" s="196" t="s">
        <v>771</v>
      </c>
      <c r="O156" s="196" t="s">
        <v>771</v>
      </c>
      <c r="P156" s="196" t="s">
        <v>771</v>
      </c>
      <c r="Q156" s="171" t="s">
        <v>769</v>
      </c>
      <c r="R156" s="171" t="s">
        <v>678</v>
      </c>
      <c r="S156" s="171" t="s">
        <v>769</v>
      </c>
      <c r="T156" s="171" t="s">
        <v>679</v>
      </c>
      <c r="U156" s="196" t="s">
        <v>771</v>
      </c>
      <c r="V156" s="196" t="s">
        <v>771</v>
      </c>
      <c r="W156" s="196" t="s">
        <v>771</v>
      </c>
      <c r="X156" s="196" t="s">
        <v>771</v>
      </c>
      <c r="Y156" s="196" t="s">
        <v>771</v>
      </c>
      <c r="Z156" s="196" t="s">
        <v>771</v>
      </c>
      <c r="AA156" s="196" t="s">
        <v>771</v>
      </c>
      <c r="AB156" s="196" t="s">
        <v>771</v>
      </c>
      <c r="AC156" s="196" t="s">
        <v>771</v>
      </c>
    </row>
    <row r="157" spans="3:29" x14ac:dyDescent="0.25">
      <c r="C157" s="171" t="s">
        <v>136</v>
      </c>
      <c r="E157" s="238" t="s">
        <v>647</v>
      </c>
      <c r="F157" s="171" t="s">
        <v>628</v>
      </c>
      <c r="G157" s="238" t="s">
        <v>521</v>
      </c>
      <c r="H157" s="171" t="s">
        <v>115</v>
      </c>
      <c r="I157" s="238" t="s">
        <v>341</v>
      </c>
      <c r="J157" s="171" t="s">
        <v>127</v>
      </c>
      <c r="K157" s="196" t="s">
        <v>771</v>
      </c>
      <c r="L157" s="196" t="s">
        <v>771</v>
      </c>
      <c r="M157" s="196" t="s">
        <v>771</v>
      </c>
      <c r="N157" s="196" t="s">
        <v>771</v>
      </c>
      <c r="O157" s="196" t="s">
        <v>771</v>
      </c>
      <c r="P157" s="196" t="s">
        <v>771</v>
      </c>
      <c r="Q157" s="171" t="s">
        <v>769</v>
      </c>
      <c r="R157" s="171" t="s">
        <v>678</v>
      </c>
      <c r="S157" s="171" t="s">
        <v>769</v>
      </c>
      <c r="T157" s="171" t="s">
        <v>679</v>
      </c>
      <c r="U157" s="196" t="s">
        <v>771</v>
      </c>
      <c r="V157" s="196" t="s">
        <v>771</v>
      </c>
      <c r="W157" s="196" t="s">
        <v>771</v>
      </c>
      <c r="X157" s="196" t="s">
        <v>771</v>
      </c>
      <c r="Y157" s="196" t="s">
        <v>771</v>
      </c>
      <c r="Z157" s="196" t="s">
        <v>771</v>
      </c>
      <c r="AA157" s="196" t="s">
        <v>771</v>
      </c>
      <c r="AB157" s="196" t="s">
        <v>771</v>
      </c>
      <c r="AC157" s="196" t="s">
        <v>771</v>
      </c>
    </row>
    <row r="158" spans="3:29" x14ac:dyDescent="0.25">
      <c r="C158" s="171" t="s">
        <v>312</v>
      </c>
      <c r="E158" s="238" t="s">
        <v>647</v>
      </c>
      <c r="F158" s="171" t="s">
        <v>628</v>
      </c>
      <c r="G158" s="238" t="s">
        <v>521</v>
      </c>
      <c r="H158" s="171" t="s">
        <v>115</v>
      </c>
      <c r="I158" s="238" t="s">
        <v>342</v>
      </c>
      <c r="J158" s="171" t="s">
        <v>128</v>
      </c>
      <c r="K158" s="196" t="s">
        <v>771</v>
      </c>
      <c r="L158" s="196" t="s">
        <v>771</v>
      </c>
      <c r="M158" s="196" t="s">
        <v>771</v>
      </c>
      <c r="N158" s="196" t="s">
        <v>771</v>
      </c>
      <c r="O158" s="196" t="s">
        <v>771</v>
      </c>
      <c r="P158" s="196" t="s">
        <v>771</v>
      </c>
      <c r="Q158" s="171" t="s">
        <v>769</v>
      </c>
      <c r="R158" s="171" t="s">
        <v>678</v>
      </c>
      <c r="S158" s="171" t="s">
        <v>769</v>
      </c>
      <c r="T158" s="171" t="s">
        <v>679</v>
      </c>
      <c r="U158" s="196" t="s">
        <v>771</v>
      </c>
      <c r="V158" s="196" t="s">
        <v>771</v>
      </c>
      <c r="W158" s="196" t="s">
        <v>771</v>
      </c>
      <c r="X158" s="196" t="s">
        <v>771</v>
      </c>
      <c r="Y158" s="196" t="s">
        <v>771</v>
      </c>
      <c r="Z158" s="196" t="s">
        <v>771</v>
      </c>
      <c r="AA158" s="196" t="s">
        <v>771</v>
      </c>
      <c r="AB158" s="196" t="s">
        <v>771</v>
      </c>
      <c r="AC158" s="196" t="s">
        <v>771</v>
      </c>
    </row>
    <row r="159" spans="3:29" x14ac:dyDescent="0.25">
      <c r="C159" s="171" t="s">
        <v>314</v>
      </c>
      <c r="E159" s="238" t="s">
        <v>647</v>
      </c>
      <c r="F159" s="171" t="s">
        <v>628</v>
      </c>
      <c r="G159" s="238" t="s">
        <v>521</v>
      </c>
      <c r="H159" s="171" t="s">
        <v>115</v>
      </c>
      <c r="I159" s="238" t="s">
        <v>343</v>
      </c>
      <c r="J159" s="171" t="s">
        <v>129</v>
      </c>
      <c r="K159" s="196" t="s">
        <v>771</v>
      </c>
      <c r="L159" s="196" t="s">
        <v>771</v>
      </c>
      <c r="M159" s="196" t="s">
        <v>771</v>
      </c>
      <c r="N159" s="196" t="s">
        <v>771</v>
      </c>
      <c r="O159" s="196" t="s">
        <v>771</v>
      </c>
      <c r="P159" s="196" t="s">
        <v>771</v>
      </c>
      <c r="Q159" s="171" t="s">
        <v>769</v>
      </c>
      <c r="R159" s="171" t="s">
        <v>678</v>
      </c>
      <c r="S159" s="171" t="s">
        <v>769</v>
      </c>
      <c r="T159" s="171" t="s">
        <v>679</v>
      </c>
      <c r="U159" s="196" t="s">
        <v>771</v>
      </c>
      <c r="V159" s="196" t="s">
        <v>771</v>
      </c>
      <c r="W159" s="196" t="s">
        <v>771</v>
      </c>
      <c r="X159" s="196" t="s">
        <v>771</v>
      </c>
      <c r="Y159" s="196" t="s">
        <v>771</v>
      </c>
      <c r="Z159" s="196" t="s">
        <v>771</v>
      </c>
      <c r="AA159" s="196" t="s">
        <v>771</v>
      </c>
      <c r="AB159" s="196" t="s">
        <v>771</v>
      </c>
      <c r="AC159" s="196" t="s">
        <v>771</v>
      </c>
    </row>
    <row r="160" spans="3:29" x14ac:dyDescent="0.25">
      <c r="C160" s="171" t="s">
        <v>246</v>
      </c>
      <c r="E160" s="238" t="s">
        <v>648</v>
      </c>
      <c r="F160" s="171" t="s">
        <v>629</v>
      </c>
      <c r="G160" s="238" t="s">
        <v>528</v>
      </c>
      <c r="H160" s="171" t="s">
        <v>122</v>
      </c>
      <c r="I160" s="238" t="s">
        <v>356</v>
      </c>
      <c r="J160" s="171" t="s">
        <v>122</v>
      </c>
      <c r="K160" s="196" t="s">
        <v>771</v>
      </c>
      <c r="L160" s="196" t="s">
        <v>771</v>
      </c>
      <c r="M160" s="196" t="s">
        <v>771</v>
      </c>
      <c r="N160" s="196" t="s">
        <v>771</v>
      </c>
      <c r="O160" s="196" t="s">
        <v>771</v>
      </c>
      <c r="P160" s="196" t="s">
        <v>771</v>
      </c>
      <c r="Q160" s="171" t="s">
        <v>769</v>
      </c>
      <c r="R160" s="171" t="s">
        <v>680</v>
      </c>
      <c r="S160" s="196" t="s">
        <v>771</v>
      </c>
      <c r="T160" s="196" t="s">
        <v>771</v>
      </c>
      <c r="U160" s="196" t="s">
        <v>771</v>
      </c>
      <c r="V160" s="196" t="s">
        <v>771</v>
      </c>
      <c r="W160" s="196" t="s">
        <v>771</v>
      </c>
      <c r="X160" s="196" t="s">
        <v>771</v>
      </c>
      <c r="Y160" s="196" t="s">
        <v>771</v>
      </c>
      <c r="Z160" s="196" t="s">
        <v>771</v>
      </c>
      <c r="AA160" s="196" t="s">
        <v>771</v>
      </c>
      <c r="AB160" s="196" t="s">
        <v>771</v>
      </c>
      <c r="AC160" s="196" t="s">
        <v>771</v>
      </c>
    </row>
    <row r="161" spans="3:29" x14ac:dyDescent="0.25">
      <c r="C161" s="171" t="s">
        <v>305</v>
      </c>
      <c r="E161" s="238" t="s">
        <v>648</v>
      </c>
      <c r="F161" s="171" t="s">
        <v>629</v>
      </c>
      <c r="G161" s="238" t="s">
        <v>529</v>
      </c>
      <c r="H161" s="171" t="s">
        <v>123</v>
      </c>
      <c r="I161" s="238" t="s">
        <v>357</v>
      </c>
      <c r="J161" s="171" t="s">
        <v>123</v>
      </c>
      <c r="K161" s="196" t="s">
        <v>771</v>
      </c>
      <c r="L161" s="196" t="s">
        <v>771</v>
      </c>
      <c r="M161" s="196" t="s">
        <v>771</v>
      </c>
      <c r="N161" s="196" t="s">
        <v>771</v>
      </c>
      <c r="O161" s="196" t="s">
        <v>771</v>
      </c>
      <c r="P161" s="196" t="s">
        <v>771</v>
      </c>
      <c r="Q161" s="171" t="s">
        <v>769</v>
      </c>
      <c r="R161" s="171" t="s">
        <v>680</v>
      </c>
      <c r="S161" s="196" t="s">
        <v>771</v>
      </c>
      <c r="T161" s="196" t="s">
        <v>771</v>
      </c>
      <c r="U161" s="196" t="s">
        <v>771</v>
      </c>
      <c r="V161" s="196" t="s">
        <v>771</v>
      </c>
      <c r="W161" s="196" t="s">
        <v>771</v>
      </c>
      <c r="X161" s="196" t="s">
        <v>771</v>
      </c>
      <c r="Y161" s="196" t="s">
        <v>771</v>
      </c>
      <c r="Z161" s="196" t="s">
        <v>771</v>
      </c>
      <c r="AA161" s="196" t="s">
        <v>771</v>
      </c>
      <c r="AB161" s="196" t="s">
        <v>771</v>
      </c>
      <c r="AC161" s="196" t="s">
        <v>771</v>
      </c>
    </row>
    <row r="162" spans="3:29" x14ac:dyDescent="0.25">
      <c r="C162" s="171" t="s">
        <v>208</v>
      </c>
      <c r="E162" s="238" t="s">
        <v>655</v>
      </c>
      <c r="F162" s="171" t="s">
        <v>636</v>
      </c>
      <c r="G162" s="238" t="s">
        <v>551</v>
      </c>
      <c r="H162" s="171" t="s">
        <v>159</v>
      </c>
      <c r="I162" s="238" t="s">
        <v>380</v>
      </c>
      <c r="J162" s="171" t="s">
        <v>159</v>
      </c>
      <c r="K162" s="196" t="s">
        <v>771</v>
      </c>
      <c r="L162" s="196" t="s">
        <v>771</v>
      </c>
      <c r="M162" s="196" t="s">
        <v>771</v>
      </c>
      <c r="N162" s="196" t="s">
        <v>771</v>
      </c>
      <c r="O162" s="196" t="s">
        <v>771</v>
      </c>
      <c r="P162" s="196" t="s">
        <v>771</v>
      </c>
      <c r="Q162" s="171" t="s">
        <v>769</v>
      </c>
      <c r="R162" s="171" t="s">
        <v>694</v>
      </c>
      <c r="S162" s="196" t="s">
        <v>771</v>
      </c>
      <c r="T162" s="196" t="s">
        <v>771</v>
      </c>
      <c r="U162" s="196" t="s">
        <v>771</v>
      </c>
      <c r="V162" s="196" t="s">
        <v>771</v>
      </c>
      <c r="W162" s="196" t="s">
        <v>771</v>
      </c>
      <c r="X162" s="196" t="s">
        <v>771</v>
      </c>
      <c r="Y162" s="196" t="s">
        <v>771</v>
      </c>
      <c r="Z162" s="196" t="s">
        <v>771</v>
      </c>
      <c r="AA162" s="171" t="s">
        <v>693</v>
      </c>
      <c r="AB162" s="196" t="s">
        <v>771</v>
      </c>
      <c r="AC162" s="196" t="s">
        <v>771</v>
      </c>
    </row>
    <row r="163" spans="3:29" x14ac:dyDescent="0.25">
      <c r="C163" s="171" t="s">
        <v>245</v>
      </c>
      <c r="E163" s="238" t="s">
        <v>655</v>
      </c>
      <c r="F163" s="171" t="s">
        <v>636</v>
      </c>
      <c r="G163" s="238" t="s">
        <v>552</v>
      </c>
      <c r="H163" s="171" t="s">
        <v>160</v>
      </c>
      <c r="I163" s="238" t="s">
        <v>381</v>
      </c>
      <c r="J163" s="171" t="s">
        <v>160</v>
      </c>
      <c r="K163" s="196" t="s">
        <v>771</v>
      </c>
      <c r="L163" s="196" t="s">
        <v>771</v>
      </c>
      <c r="M163" s="196" t="s">
        <v>771</v>
      </c>
      <c r="N163" s="196" t="s">
        <v>771</v>
      </c>
      <c r="O163" s="196" t="s">
        <v>771</v>
      </c>
      <c r="P163" s="196" t="s">
        <v>771</v>
      </c>
      <c r="Q163" s="171" t="s">
        <v>769</v>
      </c>
      <c r="R163" s="171" t="s">
        <v>694</v>
      </c>
      <c r="S163" s="196" t="s">
        <v>771</v>
      </c>
      <c r="T163" s="196" t="s">
        <v>771</v>
      </c>
      <c r="U163" s="196" t="s">
        <v>771</v>
      </c>
      <c r="V163" s="196" t="s">
        <v>771</v>
      </c>
      <c r="W163" s="196" t="s">
        <v>771</v>
      </c>
      <c r="X163" s="196" t="s">
        <v>771</v>
      </c>
      <c r="Y163" s="196" t="s">
        <v>771</v>
      </c>
      <c r="Z163" s="196" t="s">
        <v>771</v>
      </c>
      <c r="AA163" s="171" t="s">
        <v>693</v>
      </c>
      <c r="AB163" s="196" t="s">
        <v>771</v>
      </c>
      <c r="AC163" s="196" t="s">
        <v>771</v>
      </c>
    </row>
    <row r="164" spans="3:29" x14ac:dyDescent="0.25">
      <c r="C164" s="171" t="s">
        <v>160</v>
      </c>
      <c r="E164" s="238" t="s">
        <v>655</v>
      </c>
      <c r="F164" s="171" t="s">
        <v>636</v>
      </c>
      <c r="G164" s="238" t="s">
        <v>553</v>
      </c>
      <c r="H164" s="171" t="s">
        <v>161</v>
      </c>
      <c r="I164" s="238" t="s">
        <v>382</v>
      </c>
      <c r="J164" s="171" t="s">
        <v>161</v>
      </c>
      <c r="K164" s="196" t="s">
        <v>771</v>
      </c>
      <c r="L164" s="196" t="s">
        <v>771</v>
      </c>
      <c r="M164" s="196" t="s">
        <v>771</v>
      </c>
      <c r="N164" s="196" t="s">
        <v>771</v>
      </c>
      <c r="O164" s="196" t="s">
        <v>771</v>
      </c>
      <c r="P164" s="196" t="s">
        <v>771</v>
      </c>
      <c r="Q164" s="171" t="s">
        <v>769</v>
      </c>
      <c r="R164" s="171" t="s">
        <v>694</v>
      </c>
      <c r="S164" s="196" t="s">
        <v>771</v>
      </c>
      <c r="T164" s="196" t="s">
        <v>771</v>
      </c>
      <c r="U164" s="196" t="s">
        <v>771</v>
      </c>
      <c r="V164" s="196" t="s">
        <v>771</v>
      </c>
      <c r="W164" s="196" t="s">
        <v>771</v>
      </c>
      <c r="X164" s="196" t="s">
        <v>771</v>
      </c>
      <c r="Y164" s="196" t="s">
        <v>771</v>
      </c>
      <c r="Z164" s="196" t="s">
        <v>771</v>
      </c>
      <c r="AA164" s="171" t="s">
        <v>693</v>
      </c>
      <c r="AB164" s="196" t="s">
        <v>771</v>
      </c>
      <c r="AC164" s="196" t="s">
        <v>771</v>
      </c>
    </row>
    <row r="165" spans="3:29" x14ac:dyDescent="0.25">
      <c r="C165" s="171" t="s">
        <v>309</v>
      </c>
      <c r="E165" s="238" t="s">
        <v>656</v>
      </c>
      <c r="F165" s="171" t="s">
        <v>637</v>
      </c>
      <c r="G165" s="238" t="s">
        <v>571</v>
      </c>
      <c r="H165" s="171" t="s">
        <v>196</v>
      </c>
      <c r="I165" s="238" t="s">
        <v>384</v>
      </c>
      <c r="J165" s="171" t="s">
        <v>196</v>
      </c>
      <c r="K165" s="196" t="s">
        <v>771</v>
      </c>
      <c r="L165" s="196" t="s">
        <v>771</v>
      </c>
      <c r="M165" s="196" t="s">
        <v>771</v>
      </c>
      <c r="N165" s="196" t="s">
        <v>771</v>
      </c>
      <c r="O165" s="196" t="s">
        <v>771</v>
      </c>
      <c r="P165" s="196" t="s">
        <v>771</v>
      </c>
      <c r="Q165" s="171" t="s">
        <v>769</v>
      </c>
      <c r="R165" s="171" t="s">
        <v>699</v>
      </c>
      <c r="S165" s="171" t="s">
        <v>769</v>
      </c>
      <c r="T165" s="171" t="s">
        <v>700</v>
      </c>
      <c r="U165" s="196" t="s">
        <v>771</v>
      </c>
      <c r="V165" s="196" t="s">
        <v>771</v>
      </c>
      <c r="W165" s="196" t="s">
        <v>771</v>
      </c>
      <c r="X165" s="196" t="s">
        <v>771</v>
      </c>
      <c r="Y165" s="196" t="s">
        <v>771</v>
      </c>
      <c r="Z165" s="196" t="s">
        <v>771</v>
      </c>
      <c r="AA165" s="196" t="s">
        <v>771</v>
      </c>
      <c r="AB165" s="196" t="s">
        <v>771</v>
      </c>
      <c r="AC165" s="196" t="s">
        <v>771</v>
      </c>
    </row>
    <row r="166" spans="3:29" x14ac:dyDescent="0.25">
      <c r="C166" s="171" t="s">
        <v>223</v>
      </c>
      <c r="E166" s="238" t="s">
        <v>656</v>
      </c>
      <c r="F166" s="171" t="s">
        <v>637</v>
      </c>
      <c r="G166" s="238" t="s">
        <v>572</v>
      </c>
      <c r="H166" s="171" t="s">
        <v>197</v>
      </c>
      <c r="I166" s="238" t="s">
        <v>385</v>
      </c>
      <c r="J166" s="171" t="s">
        <v>197</v>
      </c>
      <c r="K166" s="196" t="s">
        <v>771</v>
      </c>
      <c r="L166" s="196" t="s">
        <v>771</v>
      </c>
      <c r="M166" s="196" t="s">
        <v>771</v>
      </c>
      <c r="N166" s="196" t="s">
        <v>771</v>
      </c>
      <c r="O166" s="196" t="s">
        <v>771</v>
      </c>
      <c r="P166" s="196" t="s">
        <v>771</v>
      </c>
      <c r="Q166" s="171" t="s">
        <v>769</v>
      </c>
      <c r="R166" s="171" t="s">
        <v>701</v>
      </c>
      <c r="S166" s="171" t="s">
        <v>769</v>
      </c>
      <c r="T166" s="171" t="s">
        <v>700</v>
      </c>
      <c r="U166" s="196" t="s">
        <v>771</v>
      </c>
      <c r="V166" s="196" t="s">
        <v>771</v>
      </c>
      <c r="W166" s="196" t="s">
        <v>771</v>
      </c>
      <c r="X166" s="196" t="s">
        <v>771</v>
      </c>
      <c r="Y166" s="196" t="s">
        <v>771</v>
      </c>
      <c r="Z166" s="196" t="s">
        <v>771</v>
      </c>
      <c r="AA166" s="196" t="s">
        <v>771</v>
      </c>
      <c r="AB166" s="196" t="s">
        <v>771</v>
      </c>
      <c r="AC166" s="196" t="s">
        <v>771</v>
      </c>
    </row>
    <row r="167" spans="3:29" x14ac:dyDescent="0.25">
      <c r="C167" s="171" t="s">
        <v>250</v>
      </c>
      <c r="E167" s="238" t="s">
        <v>656</v>
      </c>
      <c r="F167" s="171" t="s">
        <v>637</v>
      </c>
      <c r="G167" s="238" t="s">
        <v>573</v>
      </c>
      <c r="H167" s="171" t="s">
        <v>198</v>
      </c>
      <c r="I167" s="238" t="s">
        <v>386</v>
      </c>
      <c r="J167" s="171" t="s">
        <v>198</v>
      </c>
      <c r="K167" s="196" t="s">
        <v>771</v>
      </c>
      <c r="L167" s="196" t="s">
        <v>771</v>
      </c>
      <c r="M167" s="196" t="s">
        <v>771</v>
      </c>
      <c r="N167" s="196" t="s">
        <v>771</v>
      </c>
      <c r="O167" s="196" t="s">
        <v>771</v>
      </c>
      <c r="P167" s="196" t="s">
        <v>771</v>
      </c>
      <c r="Q167" s="171" t="s">
        <v>769</v>
      </c>
      <c r="R167" s="171" t="s">
        <v>700</v>
      </c>
      <c r="S167" s="196" t="s">
        <v>771</v>
      </c>
      <c r="T167" s="196" t="s">
        <v>771</v>
      </c>
      <c r="U167" s="196" t="s">
        <v>771</v>
      </c>
      <c r="V167" s="196" t="s">
        <v>771</v>
      </c>
      <c r="W167" s="196" t="s">
        <v>771</v>
      </c>
      <c r="X167" s="196" t="s">
        <v>771</v>
      </c>
      <c r="Y167" s="196" t="s">
        <v>771</v>
      </c>
      <c r="Z167" s="196" t="s">
        <v>771</v>
      </c>
      <c r="AA167" s="196" t="s">
        <v>771</v>
      </c>
      <c r="AB167" s="196" t="s">
        <v>771</v>
      </c>
      <c r="AC167" s="196" t="s">
        <v>771</v>
      </c>
    </row>
    <row r="168" spans="3:29" x14ac:dyDescent="0.25">
      <c r="C168" s="171" t="s">
        <v>196</v>
      </c>
      <c r="E168" s="238" t="s">
        <v>656</v>
      </c>
      <c r="F168" s="171" t="s">
        <v>637</v>
      </c>
      <c r="G168" s="238" t="s">
        <v>574</v>
      </c>
      <c r="H168" s="171" t="s">
        <v>199</v>
      </c>
      <c r="I168" s="238" t="s">
        <v>387</v>
      </c>
      <c r="J168" s="171" t="s">
        <v>199</v>
      </c>
      <c r="K168" s="196" t="s">
        <v>771</v>
      </c>
      <c r="L168" s="196" t="s">
        <v>771</v>
      </c>
      <c r="M168" s="196" t="s">
        <v>771</v>
      </c>
      <c r="N168" s="196" t="s">
        <v>771</v>
      </c>
      <c r="O168" s="196" t="s">
        <v>771</v>
      </c>
      <c r="P168" s="196" t="s">
        <v>771</v>
      </c>
      <c r="Q168" s="171" t="s">
        <v>769</v>
      </c>
      <c r="R168" s="171" t="s">
        <v>702</v>
      </c>
      <c r="S168" s="171" t="s">
        <v>769</v>
      </c>
      <c r="T168" s="171" t="s">
        <v>700</v>
      </c>
      <c r="U168" s="196" t="s">
        <v>771</v>
      </c>
      <c r="V168" s="196" t="s">
        <v>771</v>
      </c>
      <c r="W168" s="196" t="s">
        <v>771</v>
      </c>
      <c r="X168" s="196" t="s">
        <v>771</v>
      </c>
      <c r="Y168" s="196" t="s">
        <v>771</v>
      </c>
      <c r="Z168" s="196" t="s">
        <v>771</v>
      </c>
      <c r="AA168" s="196" t="s">
        <v>771</v>
      </c>
      <c r="AB168" s="196" t="s">
        <v>771</v>
      </c>
      <c r="AC168" s="196" t="s">
        <v>771</v>
      </c>
    </row>
    <row r="169" spans="3:29" x14ac:dyDescent="0.25">
      <c r="C169" s="171" t="s">
        <v>123</v>
      </c>
      <c r="E169" s="238" t="s">
        <v>656</v>
      </c>
      <c r="F169" s="171" t="s">
        <v>637</v>
      </c>
      <c r="G169" s="238" t="s">
        <v>575</v>
      </c>
      <c r="H169" s="171" t="s">
        <v>200</v>
      </c>
      <c r="I169" s="238" t="s">
        <v>388</v>
      </c>
      <c r="J169" s="171" t="s">
        <v>200</v>
      </c>
      <c r="K169" s="196" t="s">
        <v>771</v>
      </c>
      <c r="L169" s="196" t="s">
        <v>771</v>
      </c>
      <c r="M169" s="196" t="s">
        <v>771</v>
      </c>
      <c r="N169" s="196" t="s">
        <v>771</v>
      </c>
      <c r="O169" s="196" t="s">
        <v>771</v>
      </c>
      <c r="P169" s="196" t="s">
        <v>771</v>
      </c>
      <c r="Q169" s="171" t="s">
        <v>769</v>
      </c>
      <c r="R169" s="171" t="s">
        <v>703</v>
      </c>
      <c r="S169" s="171" t="s">
        <v>769</v>
      </c>
      <c r="T169" s="171" t="s">
        <v>700</v>
      </c>
      <c r="U169" s="196" t="s">
        <v>771</v>
      </c>
      <c r="V169" s="196" t="s">
        <v>771</v>
      </c>
      <c r="W169" s="196" t="s">
        <v>771</v>
      </c>
      <c r="X169" s="196" t="s">
        <v>771</v>
      </c>
      <c r="Y169" s="196" t="s">
        <v>771</v>
      </c>
      <c r="Z169" s="196" t="s">
        <v>771</v>
      </c>
      <c r="AA169" s="196" t="s">
        <v>771</v>
      </c>
      <c r="AB169" s="196" t="s">
        <v>771</v>
      </c>
      <c r="AC169" s="196" t="s">
        <v>771</v>
      </c>
    </row>
    <row r="170" spans="3:29" x14ac:dyDescent="0.25">
      <c r="C170" s="171" t="s">
        <v>257</v>
      </c>
      <c r="E170" s="238" t="s">
        <v>653</v>
      </c>
      <c r="F170" s="171" t="s">
        <v>634</v>
      </c>
      <c r="G170" s="238" t="s">
        <v>546</v>
      </c>
      <c r="H170" s="171" t="s">
        <v>154</v>
      </c>
      <c r="I170" s="238" t="s">
        <v>375</v>
      </c>
      <c r="J170" s="171" t="s">
        <v>154</v>
      </c>
      <c r="K170" s="196" t="s">
        <v>771</v>
      </c>
      <c r="L170" s="196" t="s">
        <v>771</v>
      </c>
      <c r="M170" s="196" t="s">
        <v>771</v>
      </c>
      <c r="N170" s="196" t="s">
        <v>771</v>
      </c>
      <c r="O170" s="196" t="s">
        <v>771</v>
      </c>
      <c r="P170" s="196" t="s">
        <v>771</v>
      </c>
      <c r="Q170" s="171" t="s">
        <v>769</v>
      </c>
      <c r="R170" s="171" t="s">
        <v>692</v>
      </c>
      <c r="S170" s="196" t="s">
        <v>771</v>
      </c>
      <c r="T170" s="196" t="s">
        <v>771</v>
      </c>
      <c r="U170" s="196" t="s">
        <v>771</v>
      </c>
      <c r="V170" s="196" t="s">
        <v>771</v>
      </c>
      <c r="W170" s="196" t="s">
        <v>771</v>
      </c>
      <c r="X170" s="196" t="s">
        <v>771</v>
      </c>
      <c r="Y170" s="196" t="s">
        <v>771</v>
      </c>
      <c r="Z170" s="196" t="s">
        <v>771</v>
      </c>
      <c r="AA170" s="196" t="s">
        <v>771</v>
      </c>
      <c r="AB170" s="196" t="s">
        <v>771</v>
      </c>
      <c r="AC170" s="196" t="s">
        <v>771</v>
      </c>
    </row>
    <row r="171" spans="3:29" x14ac:dyDescent="0.25">
      <c r="C171" s="171" t="s">
        <v>228</v>
      </c>
      <c r="E171" s="238" t="s">
        <v>653</v>
      </c>
      <c r="F171" s="171" t="s">
        <v>634</v>
      </c>
      <c r="G171" s="238" t="s">
        <v>547</v>
      </c>
      <c r="H171" s="171" t="s">
        <v>155</v>
      </c>
      <c r="I171" s="238" t="s">
        <v>376</v>
      </c>
      <c r="J171" s="171" t="s">
        <v>155</v>
      </c>
      <c r="K171" s="196" t="s">
        <v>771</v>
      </c>
      <c r="L171" s="196" t="s">
        <v>771</v>
      </c>
      <c r="M171" s="196" t="s">
        <v>771</v>
      </c>
      <c r="N171" s="196" t="s">
        <v>771</v>
      </c>
      <c r="O171" s="196" t="s">
        <v>771</v>
      </c>
      <c r="P171" s="196" t="s">
        <v>771</v>
      </c>
      <c r="Q171" s="171" t="s">
        <v>769</v>
      </c>
      <c r="R171" s="171" t="s">
        <v>692</v>
      </c>
      <c r="S171" s="196" t="s">
        <v>771</v>
      </c>
      <c r="T171" s="196" t="s">
        <v>771</v>
      </c>
      <c r="U171" s="196" t="s">
        <v>771</v>
      </c>
      <c r="V171" s="196" t="s">
        <v>771</v>
      </c>
      <c r="W171" s="196" t="s">
        <v>771</v>
      </c>
      <c r="X171" s="196" t="s">
        <v>771</v>
      </c>
      <c r="Y171" s="196" t="s">
        <v>771</v>
      </c>
      <c r="Z171" s="196" t="s">
        <v>771</v>
      </c>
      <c r="AA171" s="196" t="s">
        <v>771</v>
      </c>
      <c r="AB171" s="196" t="s">
        <v>771</v>
      </c>
      <c r="AC171" s="196" t="s">
        <v>771</v>
      </c>
    </row>
    <row r="172" spans="3:29" x14ac:dyDescent="0.25">
      <c r="C172" s="171" t="s">
        <v>207</v>
      </c>
      <c r="E172" s="238" t="s">
        <v>658</v>
      </c>
      <c r="F172" s="171" t="s">
        <v>1004</v>
      </c>
      <c r="G172" s="238" t="s">
        <v>581</v>
      </c>
      <c r="H172" s="171" t="s">
        <v>229</v>
      </c>
      <c r="I172" s="238" t="s">
        <v>413</v>
      </c>
      <c r="J172" s="171" t="s">
        <v>969</v>
      </c>
      <c r="K172" s="196" t="s">
        <v>771</v>
      </c>
      <c r="L172" s="196" t="s">
        <v>771</v>
      </c>
      <c r="M172" s="196" t="s">
        <v>771</v>
      </c>
      <c r="N172" s="196" t="s">
        <v>771</v>
      </c>
      <c r="O172" s="196" t="s">
        <v>771</v>
      </c>
      <c r="P172" s="196" t="s">
        <v>771</v>
      </c>
      <c r="Q172" s="171" t="s">
        <v>769</v>
      </c>
      <c r="R172" s="171" t="s">
        <v>715</v>
      </c>
      <c r="S172" s="196" t="s">
        <v>771</v>
      </c>
      <c r="T172" s="196" t="s">
        <v>771</v>
      </c>
      <c r="U172" s="171" t="s">
        <v>1002</v>
      </c>
      <c r="V172" s="196" t="s">
        <v>771</v>
      </c>
      <c r="W172" s="196" t="s">
        <v>771</v>
      </c>
      <c r="X172" s="196" t="s">
        <v>771</v>
      </c>
      <c r="Y172" s="196" t="s">
        <v>771</v>
      </c>
      <c r="Z172" s="196" t="s">
        <v>771</v>
      </c>
      <c r="AA172" s="196" t="s">
        <v>771</v>
      </c>
      <c r="AB172" s="196" t="s">
        <v>771</v>
      </c>
      <c r="AC172" s="196" t="s">
        <v>771</v>
      </c>
    </row>
    <row r="173" spans="3:29" x14ac:dyDescent="0.25">
      <c r="C173" s="171" t="s">
        <v>989</v>
      </c>
      <c r="E173" s="238" t="s">
        <v>658</v>
      </c>
      <c r="F173" s="171" t="s">
        <v>1004</v>
      </c>
      <c r="G173" s="238" t="s">
        <v>581</v>
      </c>
      <c r="H173" s="171" t="s">
        <v>229</v>
      </c>
      <c r="I173" s="238" t="s">
        <v>414</v>
      </c>
      <c r="J173" s="171" t="s">
        <v>970</v>
      </c>
      <c r="K173" s="196" t="s">
        <v>771</v>
      </c>
      <c r="L173" s="196" t="s">
        <v>771</v>
      </c>
      <c r="M173" s="196" t="s">
        <v>771</v>
      </c>
      <c r="N173" s="196" t="s">
        <v>771</v>
      </c>
      <c r="O173" s="196" t="s">
        <v>771</v>
      </c>
      <c r="P173" s="196" t="s">
        <v>771</v>
      </c>
      <c r="Q173" s="171" t="s">
        <v>769</v>
      </c>
      <c r="R173" s="171" t="s">
        <v>715</v>
      </c>
      <c r="S173" s="196" t="s">
        <v>771</v>
      </c>
      <c r="T173" s="196" t="s">
        <v>771</v>
      </c>
      <c r="U173" s="171" t="s">
        <v>1002</v>
      </c>
      <c r="V173" s="196" t="s">
        <v>771</v>
      </c>
      <c r="W173" s="196" t="s">
        <v>771</v>
      </c>
      <c r="X173" s="196" t="s">
        <v>771</v>
      </c>
      <c r="Y173" s="196" t="s">
        <v>771</v>
      </c>
      <c r="Z173" s="196" t="s">
        <v>771</v>
      </c>
      <c r="AA173" s="196" t="s">
        <v>771</v>
      </c>
      <c r="AB173" s="196" t="s">
        <v>771</v>
      </c>
      <c r="AC173" s="196" t="s">
        <v>771</v>
      </c>
    </row>
    <row r="174" spans="3:29" x14ac:dyDescent="0.25">
      <c r="C174" s="171" t="s">
        <v>966</v>
      </c>
      <c r="E174" s="238" t="s">
        <v>658</v>
      </c>
      <c r="F174" s="171" t="s">
        <v>1004</v>
      </c>
      <c r="G174" s="238" t="s">
        <v>581</v>
      </c>
      <c r="H174" s="171" t="s">
        <v>229</v>
      </c>
      <c r="I174" s="238" t="s">
        <v>415</v>
      </c>
      <c r="J174" s="171" t="s">
        <v>971</v>
      </c>
      <c r="K174" s="196" t="s">
        <v>771</v>
      </c>
      <c r="L174" s="196" t="s">
        <v>771</v>
      </c>
      <c r="M174" s="196" t="s">
        <v>771</v>
      </c>
      <c r="N174" s="196" t="s">
        <v>771</v>
      </c>
      <c r="O174" s="196" t="s">
        <v>771</v>
      </c>
      <c r="P174" s="196" t="s">
        <v>771</v>
      </c>
      <c r="Q174" s="171" t="s">
        <v>769</v>
      </c>
      <c r="R174" s="171" t="s">
        <v>715</v>
      </c>
      <c r="S174" s="196" t="s">
        <v>771</v>
      </c>
      <c r="T174" s="196" t="s">
        <v>771</v>
      </c>
      <c r="U174" s="171" t="s">
        <v>1002</v>
      </c>
      <c r="V174" s="196" t="s">
        <v>771</v>
      </c>
      <c r="W174" s="196" t="s">
        <v>771</v>
      </c>
      <c r="X174" s="196" t="s">
        <v>771</v>
      </c>
      <c r="Y174" s="196" t="s">
        <v>771</v>
      </c>
      <c r="Z174" s="196" t="s">
        <v>771</v>
      </c>
      <c r="AA174" s="196" t="s">
        <v>771</v>
      </c>
      <c r="AB174" s="196" t="s">
        <v>771</v>
      </c>
      <c r="AC174" s="196" t="s">
        <v>771</v>
      </c>
    </row>
    <row r="175" spans="3:29" x14ac:dyDescent="0.25">
      <c r="C175" s="171" t="s">
        <v>964</v>
      </c>
      <c r="E175" s="238" t="s">
        <v>658</v>
      </c>
      <c r="F175" s="171" t="s">
        <v>1004</v>
      </c>
      <c r="G175" s="238" t="s">
        <v>582</v>
      </c>
      <c r="H175" s="171" t="s">
        <v>230</v>
      </c>
      <c r="I175" s="238" t="s">
        <v>416</v>
      </c>
      <c r="J175" s="171" t="s">
        <v>972</v>
      </c>
      <c r="K175" s="196" t="s">
        <v>771</v>
      </c>
      <c r="L175" s="196" t="s">
        <v>771</v>
      </c>
      <c r="M175" s="196" t="s">
        <v>771</v>
      </c>
      <c r="N175" s="196" t="s">
        <v>771</v>
      </c>
      <c r="O175" s="196" t="s">
        <v>771</v>
      </c>
      <c r="P175" s="196" t="s">
        <v>771</v>
      </c>
      <c r="Q175" s="171" t="s">
        <v>769</v>
      </c>
      <c r="R175" s="171" t="s">
        <v>716</v>
      </c>
      <c r="S175" s="196" t="s">
        <v>771</v>
      </c>
      <c r="T175" s="196" t="s">
        <v>771</v>
      </c>
      <c r="U175" s="171" t="s">
        <v>1002</v>
      </c>
      <c r="V175" s="196" t="s">
        <v>771</v>
      </c>
      <c r="W175" s="196" t="s">
        <v>771</v>
      </c>
      <c r="X175" s="196" t="s">
        <v>771</v>
      </c>
      <c r="Y175" s="196" t="s">
        <v>771</v>
      </c>
      <c r="Z175" s="196" t="s">
        <v>771</v>
      </c>
      <c r="AA175" s="196" t="s">
        <v>771</v>
      </c>
      <c r="AB175" s="196" t="s">
        <v>771</v>
      </c>
      <c r="AC175" s="196" t="s">
        <v>771</v>
      </c>
    </row>
    <row r="176" spans="3:29" x14ac:dyDescent="0.25">
      <c r="C176" s="171" t="s">
        <v>146</v>
      </c>
      <c r="E176" s="238" t="s">
        <v>658</v>
      </c>
      <c r="F176" s="171" t="s">
        <v>1004</v>
      </c>
      <c r="G176" s="238" t="s">
        <v>582</v>
      </c>
      <c r="H176" s="171" t="s">
        <v>230</v>
      </c>
      <c r="I176" s="238" t="s">
        <v>417</v>
      </c>
      <c r="J176" s="171" t="s">
        <v>973</v>
      </c>
      <c r="K176" s="196" t="s">
        <v>771</v>
      </c>
      <c r="L176" s="196" t="s">
        <v>771</v>
      </c>
      <c r="M176" s="196" t="s">
        <v>771</v>
      </c>
      <c r="N176" s="196" t="s">
        <v>771</v>
      </c>
      <c r="O176" s="196" t="s">
        <v>771</v>
      </c>
      <c r="P176" s="196" t="s">
        <v>771</v>
      </c>
      <c r="Q176" s="171" t="s">
        <v>769</v>
      </c>
      <c r="R176" s="171" t="s">
        <v>716</v>
      </c>
      <c r="S176" s="196" t="s">
        <v>771</v>
      </c>
      <c r="T176" s="196" t="s">
        <v>771</v>
      </c>
      <c r="U176" s="171" t="s">
        <v>1002</v>
      </c>
      <c r="V176" s="196" t="s">
        <v>771</v>
      </c>
      <c r="W176" s="196" t="s">
        <v>771</v>
      </c>
      <c r="X176" s="196" t="s">
        <v>771</v>
      </c>
      <c r="Y176" s="196" t="s">
        <v>771</v>
      </c>
      <c r="Z176" s="196" t="s">
        <v>771</v>
      </c>
      <c r="AA176" s="196" t="s">
        <v>771</v>
      </c>
      <c r="AB176" s="196" t="s">
        <v>771</v>
      </c>
      <c r="AC176" s="196" t="s">
        <v>771</v>
      </c>
    </row>
    <row r="177" spans="3:29" x14ac:dyDescent="0.25">
      <c r="C177" s="171" t="s">
        <v>968</v>
      </c>
      <c r="E177" s="238" t="s">
        <v>658</v>
      </c>
      <c r="F177" s="171" t="s">
        <v>1004</v>
      </c>
      <c r="G177" s="238" t="s">
        <v>583</v>
      </c>
      <c r="H177" s="171" t="s">
        <v>231</v>
      </c>
      <c r="I177" s="238" t="s">
        <v>418</v>
      </c>
      <c r="J177" s="171" t="s">
        <v>974</v>
      </c>
      <c r="K177" s="196" t="s">
        <v>771</v>
      </c>
      <c r="L177" s="196" t="s">
        <v>771</v>
      </c>
      <c r="M177" s="196" t="s">
        <v>771</v>
      </c>
      <c r="N177" s="196" t="s">
        <v>771</v>
      </c>
      <c r="O177" s="196" t="s">
        <v>771</v>
      </c>
      <c r="P177" s="196" t="s">
        <v>771</v>
      </c>
      <c r="Q177" s="171" t="s">
        <v>769</v>
      </c>
      <c r="R177" s="171" t="s">
        <v>1002</v>
      </c>
      <c r="S177" s="196" t="s">
        <v>771</v>
      </c>
      <c r="T177" s="196" t="s">
        <v>771</v>
      </c>
      <c r="U177" s="196" t="s">
        <v>771</v>
      </c>
      <c r="V177" s="196" t="s">
        <v>771</v>
      </c>
      <c r="W177" s="196" t="s">
        <v>771</v>
      </c>
      <c r="X177" s="196" t="s">
        <v>771</v>
      </c>
      <c r="Y177" s="196" t="s">
        <v>771</v>
      </c>
      <c r="Z177" s="196" t="s">
        <v>771</v>
      </c>
      <c r="AA177" s="196" t="s">
        <v>771</v>
      </c>
      <c r="AB177" s="196" t="s">
        <v>771</v>
      </c>
      <c r="AC177" s="196" t="s">
        <v>771</v>
      </c>
    </row>
    <row r="178" spans="3:29" x14ac:dyDescent="0.25">
      <c r="C178" s="171" t="s">
        <v>962</v>
      </c>
      <c r="E178" s="238" t="s">
        <v>658</v>
      </c>
      <c r="F178" s="171" t="s">
        <v>1004</v>
      </c>
      <c r="G178" s="238" t="s">
        <v>583</v>
      </c>
      <c r="H178" s="171" t="s">
        <v>231</v>
      </c>
      <c r="I178" s="238" t="s">
        <v>419</v>
      </c>
      <c r="J178" s="171" t="s">
        <v>975</v>
      </c>
      <c r="K178" s="196" t="s">
        <v>771</v>
      </c>
      <c r="L178" s="196" t="s">
        <v>771</v>
      </c>
      <c r="M178" s="196" t="s">
        <v>771</v>
      </c>
      <c r="N178" s="196" t="s">
        <v>771</v>
      </c>
      <c r="O178" s="196" t="s">
        <v>771</v>
      </c>
      <c r="P178" s="196" t="s">
        <v>771</v>
      </c>
      <c r="Q178" s="171" t="s">
        <v>769</v>
      </c>
      <c r="R178" s="171" t="s">
        <v>1002</v>
      </c>
      <c r="S178" s="196" t="s">
        <v>771</v>
      </c>
      <c r="T178" s="196" t="s">
        <v>771</v>
      </c>
      <c r="U178" s="196" t="s">
        <v>771</v>
      </c>
      <c r="V178" s="196" t="s">
        <v>771</v>
      </c>
      <c r="W178" s="196" t="s">
        <v>771</v>
      </c>
      <c r="X178" s="196" t="s">
        <v>771</v>
      </c>
      <c r="Y178" s="196" t="s">
        <v>771</v>
      </c>
      <c r="Z178" s="196" t="s">
        <v>771</v>
      </c>
      <c r="AA178" s="196" t="s">
        <v>771</v>
      </c>
      <c r="AB178" s="196" t="s">
        <v>771</v>
      </c>
      <c r="AC178" s="196" t="s">
        <v>771</v>
      </c>
    </row>
    <row r="179" spans="3:29" x14ac:dyDescent="0.25">
      <c r="C179" s="171" t="s">
        <v>295</v>
      </c>
      <c r="E179" s="238" t="s">
        <v>658</v>
      </c>
      <c r="F179" s="171" t="s">
        <v>1004</v>
      </c>
      <c r="G179" s="238" t="s">
        <v>583</v>
      </c>
      <c r="H179" s="171" t="s">
        <v>231</v>
      </c>
      <c r="I179" s="238" t="s">
        <v>420</v>
      </c>
      <c r="J179" s="171" t="s">
        <v>976</v>
      </c>
      <c r="K179" s="196" t="s">
        <v>771</v>
      </c>
      <c r="L179" s="196" t="s">
        <v>771</v>
      </c>
      <c r="M179" s="196" t="s">
        <v>771</v>
      </c>
      <c r="N179" s="196" t="s">
        <v>771</v>
      </c>
      <c r="O179" s="196" t="s">
        <v>771</v>
      </c>
      <c r="P179" s="196" t="s">
        <v>771</v>
      </c>
      <c r="Q179" s="171" t="s">
        <v>769</v>
      </c>
      <c r="R179" s="171" t="s">
        <v>1002</v>
      </c>
      <c r="S179" s="196" t="s">
        <v>771</v>
      </c>
      <c r="T179" s="196" t="s">
        <v>771</v>
      </c>
      <c r="U179" s="196" t="s">
        <v>771</v>
      </c>
      <c r="V179" s="196" t="s">
        <v>771</v>
      </c>
      <c r="W179" s="196" t="s">
        <v>771</v>
      </c>
      <c r="X179" s="196" t="s">
        <v>771</v>
      </c>
      <c r="Y179" s="196" t="s">
        <v>771</v>
      </c>
      <c r="Z179" s="196" t="s">
        <v>771</v>
      </c>
      <c r="AA179" s="196" t="s">
        <v>771</v>
      </c>
      <c r="AB179" s="196" t="s">
        <v>771</v>
      </c>
      <c r="AC179" s="196" t="s">
        <v>771</v>
      </c>
    </row>
    <row r="180" spans="3:29" x14ac:dyDescent="0.25">
      <c r="C180" s="171" t="s">
        <v>294</v>
      </c>
      <c r="E180" s="238" t="s">
        <v>658</v>
      </c>
      <c r="F180" s="171" t="s">
        <v>1004</v>
      </c>
      <c r="G180" s="238" t="s">
        <v>584</v>
      </c>
      <c r="H180" s="171" t="s">
        <v>232</v>
      </c>
      <c r="I180" s="238" t="s">
        <v>421</v>
      </c>
      <c r="J180" s="171" t="s">
        <v>977</v>
      </c>
      <c r="K180" s="196" t="s">
        <v>771</v>
      </c>
      <c r="L180" s="196" t="s">
        <v>771</v>
      </c>
      <c r="M180" s="196" t="s">
        <v>771</v>
      </c>
      <c r="N180" s="196" t="s">
        <v>771</v>
      </c>
      <c r="O180" s="196" t="s">
        <v>771</v>
      </c>
      <c r="P180" s="196" t="s">
        <v>771</v>
      </c>
      <c r="Q180" s="171" t="s">
        <v>769</v>
      </c>
      <c r="R180" s="171" t="s">
        <v>981</v>
      </c>
      <c r="S180" s="196" t="s">
        <v>771</v>
      </c>
      <c r="T180" s="196" t="s">
        <v>771</v>
      </c>
      <c r="U180" s="171" t="s">
        <v>1002</v>
      </c>
      <c r="V180" s="196" t="s">
        <v>771</v>
      </c>
      <c r="W180" s="196" t="s">
        <v>771</v>
      </c>
      <c r="X180" s="196" t="s">
        <v>771</v>
      </c>
      <c r="Y180" s="196" t="s">
        <v>771</v>
      </c>
      <c r="Z180" s="196" t="s">
        <v>771</v>
      </c>
      <c r="AA180" s="196" t="s">
        <v>771</v>
      </c>
      <c r="AB180" s="196" t="s">
        <v>771</v>
      </c>
      <c r="AC180" s="196" t="s">
        <v>771</v>
      </c>
    </row>
    <row r="181" spans="3:29" x14ac:dyDescent="0.25">
      <c r="C181" s="171" t="s">
        <v>296</v>
      </c>
      <c r="E181" s="238" t="s">
        <v>658</v>
      </c>
      <c r="F181" s="171" t="s">
        <v>1004</v>
      </c>
      <c r="G181" s="238" t="s">
        <v>585</v>
      </c>
      <c r="H181" s="171" t="s">
        <v>233</v>
      </c>
      <c r="I181" s="238" t="s">
        <v>422</v>
      </c>
      <c r="J181" s="171" t="s">
        <v>978</v>
      </c>
      <c r="K181" s="196" t="s">
        <v>771</v>
      </c>
      <c r="L181" s="196" t="s">
        <v>771</v>
      </c>
      <c r="M181" s="196" t="s">
        <v>771</v>
      </c>
      <c r="N181" s="196" t="s">
        <v>771</v>
      </c>
      <c r="O181" s="196" t="s">
        <v>771</v>
      </c>
      <c r="P181" s="196" t="s">
        <v>771</v>
      </c>
      <c r="Q181" s="171" t="s">
        <v>769</v>
      </c>
      <c r="R181" s="171" t="s">
        <v>719</v>
      </c>
      <c r="S181" s="196" t="s">
        <v>771</v>
      </c>
      <c r="T181" s="196" t="s">
        <v>771</v>
      </c>
      <c r="U181" s="171" t="s">
        <v>1002</v>
      </c>
      <c r="V181" s="196" t="s">
        <v>771</v>
      </c>
      <c r="W181" s="196" t="s">
        <v>771</v>
      </c>
      <c r="X181" s="196" t="s">
        <v>771</v>
      </c>
      <c r="Y181" s="196" t="s">
        <v>771</v>
      </c>
      <c r="Z181" s="196" t="s">
        <v>771</v>
      </c>
      <c r="AA181" s="196" t="s">
        <v>771</v>
      </c>
      <c r="AB181" s="196" t="s">
        <v>771</v>
      </c>
      <c r="AC181" s="196" t="s">
        <v>771</v>
      </c>
    </row>
    <row r="182" spans="3:29" x14ac:dyDescent="0.25">
      <c r="C182" s="171" t="s">
        <v>254</v>
      </c>
      <c r="E182" s="238" t="s">
        <v>658</v>
      </c>
      <c r="F182" s="171" t="s">
        <v>1004</v>
      </c>
      <c r="G182" s="238" t="s">
        <v>585</v>
      </c>
      <c r="H182" s="171" t="s">
        <v>233</v>
      </c>
      <c r="I182" s="238" t="s">
        <v>423</v>
      </c>
      <c r="J182" s="171" t="s">
        <v>979</v>
      </c>
      <c r="K182" s="196" t="s">
        <v>771</v>
      </c>
      <c r="L182" s="196" t="s">
        <v>771</v>
      </c>
      <c r="M182" s="196" t="s">
        <v>771</v>
      </c>
      <c r="N182" s="196" t="s">
        <v>771</v>
      </c>
      <c r="O182" s="196" t="s">
        <v>771</v>
      </c>
      <c r="P182" s="196" t="s">
        <v>771</v>
      </c>
      <c r="Q182" s="171" t="s">
        <v>769</v>
      </c>
      <c r="R182" s="171" t="s">
        <v>719</v>
      </c>
      <c r="S182" s="196" t="s">
        <v>771</v>
      </c>
      <c r="T182" s="196" t="s">
        <v>771</v>
      </c>
      <c r="U182" s="171" t="s">
        <v>1002</v>
      </c>
      <c r="V182" s="196" t="s">
        <v>771</v>
      </c>
      <c r="W182" s="196" t="s">
        <v>771</v>
      </c>
      <c r="X182" s="196" t="s">
        <v>771</v>
      </c>
      <c r="Y182" s="196" t="s">
        <v>771</v>
      </c>
      <c r="Z182" s="196" t="s">
        <v>771</v>
      </c>
      <c r="AA182" s="196" t="s">
        <v>771</v>
      </c>
      <c r="AB182" s="196" t="s">
        <v>771</v>
      </c>
      <c r="AC182" s="196" t="s">
        <v>771</v>
      </c>
    </row>
    <row r="183" spans="3:29" x14ac:dyDescent="0.25">
      <c r="C183" s="171" t="s">
        <v>953</v>
      </c>
      <c r="E183" s="238" t="s">
        <v>658</v>
      </c>
      <c r="F183" s="171" t="s">
        <v>1004</v>
      </c>
      <c r="G183" s="238" t="s">
        <v>585</v>
      </c>
      <c r="H183" s="171" t="s">
        <v>233</v>
      </c>
      <c r="I183" s="238" t="s">
        <v>424</v>
      </c>
      <c r="J183" s="171" t="s">
        <v>980</v>
      </c>
      <c r="K183" s="196" t="s">
        <v>771</v>
      </c>
      <c r="L183" s="196" t="s">
        <v>771</v>
      </c>
      <c r="M183" s="196" t="s">
        <v>771</v>
      </c>
      <c r="N183" s="196" t="s">
        <v>771</v>
      </c>
      <c r="O183" s="196" t="s">
        <v>771</v>
      </c>
      <c r="P183" s="196" t="s">
        <v>771</v>
      </c>
      <c r="Q183" s="171" t="s">
        <v>769</v>
      </c>
      <c r="R183" s="171" t="s">
        <v>719</v>
      </c>
      <c r="S183" s="196" t="s">
        <v>771</v>
      </c>
      <c r="T183" s="196" t="s">
        <v>771</v>
      </c>
      <c r="U183" s="171" t="s">
        <v>1002</v>
      </c>
      <c r="V183" s="196" t="s">
        <v>771</v>
      </c>
      <c r="W183" s="196" t="s">
        <v>771</v>
      </c>
      <c r="X183" s="196" t="s">
        <v>771</v>
      </c>
      <c r="Y183" s="196" t="s">
        <v>771</v>
      </c>
      <c r="Z183" s="196" t="s">
        <v>771</v>
      </c>
      <c r="AA183" s="196" t="s">
        <v>771</v>
      </c>
      <c r="AB183" s="196" t="s">
        <v>771</v>
      </c>
      <c r="AC183" s="196" t="s">
        <v>771</v>
      </c>
    </row>
    <row r="184" spans="3:29" x14ac:dyDescent="0.25">
      <c r="C184" s="171" t="s">
        <v>221</v>
      </c>
      <c r="E184" s="238" t="s">
        <v>658</v>
      </c>
      <c r="F184" s="171" t="s">
        <v>1004</v>
      </c>
      <c r="G184" s="238" t="s">
        <v>586</v>
      </c>
      <c r="H184" s="171" t="s">
        <v>234</v>
      </c>
      <c r="I184" s="238" t="s">
        <v>425</v>
      </c>
      <c r="J184" s="171" t="s">
        <v>235</v>
      </c>
      <c r="K184" s="196" t="s">
        <v>771</v>
      </c>
      <c r="L184" s="196" t="s">
        <v>771</v>
      </c>
      <c r="M184" s="196" t="s">
        <v>771</v>
      </c>
      <c r="N184" s="196" t="s">
        <v>771</v>
      </c>
      <c r="O184" s="196" t="s">
        <v>771</v>
      </c>
      <c r="P184" s="196" t="s">
        <v>771</v>
      </c>
      <c r="Q184" s="171" t="s">
        <v>769</v>
      </c>
      <c r="R184" s="171" t="s">
        <v>1002</v>
      </c>
      <c r="S184" s="196" t="s">
        <v>771</v>
      </c>
      <c r="T184" s="196" t="s">
        <v>771</v>
      </c>
      <c r="U184" s="196" t="s">
        <v>771</v>
      </c>
      <c r="V184" s="196" t="s">
        <v>771</v>
      </c>
      <c r="W184" s="196" t="s">
        <v>771</v>
      </c>
      <c r="X184" s="196" t="s">
        <v>771</v>
      </c>
      <c r="Y184" s="196" t="s">
        <v>771</v>
      </c>
      <c r="Z184" s="196" t="s">
        <v>771</v>
      </c>
      <c r="AA184" s="196" t="s">
        <v>771</v>
      </c>
      <c r="AB184" s="196" t="s">
        <v>771</v>
      </c>
      <c r="AC184" s="196" t="s">
        <v>771</v>
      </c>
    </row>
    <row r="185" spans="3:29" x14ac:dyDescent="0.25">
      <c r="C185" s="171" t="s">
        <v>313</v>
      </c>
      <c r="E185" s="238" t="s">
        <v>658</v>
      </c>
      <c r="F185" s="171" t="s">
        <v>1004</v>
      </c>
      <c r="G185" s="238" t="s">
        <v>586</v>
      </c>
      <c r="H185" s="171" t="s">
        <v>234</v>
      </c>
      <c r="I185" s="238" t="s">
        <v>426</v>
      </c>
      <c r="J185" s="171" t="s">
        <v>236</v>
      </c>
      <c r="K185" s="196" t="s">
        <v>771</v>
      </c>
      <c r="L185" s="196" t="s">
        <v>771</v>
      </c>
      <c r="M185" s="196" t="s">
        <v>771</v>
      </c>
      <c r="N185" s="196" t="s">
        <v>771</v>
      </c>
      <c r="O185" s="196" t="s">
        <v>771</v>
      </c>
      <c r="P185" s="196" t="s">
        <v>771</v>
      </c>
      <c r="Q185" s="171" t="s">
        <v>769</v>
      </c>
      <c r="R185" s="171" t="s">
        <v>1002</v>
      </c>
      <c r="S185" s="196" t="s">
        <v>771</v>
      </c>
      <c r="T185" s="196" t="s">
        <v>771</v>
      </c>
      <c r="U185" s="196" t="s">
        <v>771</v>
      </c>
      <c r="V185" s="196" t="s">
        <v>771</v>
      </c>
      <c r="W185" s="196" t="s">
        <v>771</v>
      </c>
      <c r="X185" s="196" t="s">
        <v>771</v>
      </c>
      <c r="Y185" s="196" t="s">
        <v>771</v>
      </c>
      <c r="Z185" s="196" t="s">
        <v>771</v>
      </c>
      <c r="AA185" s="196" t="s">
        <v>771</v>
      </c>
      <c r="AB185" s="196" t="s">
        <v>771</v>
      </c>
      <c r="AC185" s="196" t="s">
        <v>771</v>
      </c>
    </row>
    <row r="186" spans="3:29" x14ac:dyDescent="0.25">
      <c r="C186" s="171" t="s">
        <v>252</v>
      </c>
      <c r="E186" s="238" t="s">
        <v>658</v>
      </c>
      <c r="F186" s="171" t="s">
        <v>1004</v>
      </c>
      <c r="G186" s="238" t="s">
        <v>586</v>
      </c>
      <c r="H186" s="171" t="s">
        <v>234</v>
      </c>
      <c r="I186" s="238" t="s">
        <v>426</v>
      </c>
      <c r="J186" s="171" t="s">
        <v>237</v>
      </c>
      <c r="K186" s="196" t="s">
        <v>771</v>
      </c>
      <c r="L186" s="196" t="s">
        <v>771</v>
      </c>
      <c r="M186" s="196" t="s">
        <v>771</v>
      </c>
      <c r="N186" s="196" t="s">
        <v>771</v>
      </c>
      <c r="O186" s="196" t="s">
        <v>771</v>
      </c>
      <c r="P186" s="196" t="s">
        <v>771</v>
      </c>
      <c r="Q186" s="171" t="s">
        <v>769</v>
      </c>
      <c r="R186" s="171" t="s">
        <v>1002</v>
      </c>
      <c r="S186" s="196" t="s">
        <v>771</v>
      </c>
      <c r="T186" s="196" t="s">
        <v>771</v>
      </c>
      <c r="U186" s="196" t="s">
        <v>771</v>
      </c>
      <c r="V186" s="196" t="s">
        <v>771</v>
      </c>
      <c r="W186" s="196" t="s">
        <v>771</v>
      </c>
      <c r="X186" s="196" t="s">
        <v>771</v>
      </c>
      <c r="Y186" s="196" t="s">
        <v>771</v>
      </c>
      <c r="Z186" s="196" t="s">
        <v>771</v>
      </c>
      <c r="AA186" s="196" t="s">
        <v>771</v>
      </c>
      <c r="AB186" s="196" t="s">
        <v>771</v>
      </c>
      <c r="AC186" s="196" t="s">
        <v>771</v>
      </c>
    </row>
    <row r="187" spans="3:29" x14ac:dyDescent="0.25">
      <c r="C187" s="171" t="s">
        <v>293</v>
      </c>
      <c r="E187" s="238" t="s">
        <v>658</v>
      </c>
      <c r="F187" s="171" t="s">
        <v>1004</v>
      </c>
      <c r="G187" s="238" t="s">
        <v>587</v>
      </c>
      <c r="H187" s="171" t="s">
        <v>238</v>
      </c>
      <c r="I187" s="238" t="s">
        <v>427</v>
      </c>
      <c r="J187" s="171" t="s">
        <v>239</v>
      </c>
      <c r="K187" s="196" t="s">
        <v>771</v>
      </c>
      <c r="L187" s="196" t="s">
        <v>771</v>
      </c>
      <c r="M187" s="196" t="s">
        <v>771</v>
      </c>
      <c r="N187" s="196" t="s">
        <v>771</v>
      </c>
      <c r="O187" s="196" t="s">
        <v>771</v>
      </c>
      <c r="P187" s="196" t="s">
        <v>771</v>
      </c>
      <c r="Q187" s="171" t="s">
        <v>769</v>
      </c>
      <c r="R187" s="171" t="s">
        <v>1002</v>
      </c>
      <c r="S187" s="196" t="s">
        <v>771</v>
      </c>
      <c r="T187" s="196" t="s">
        <v>771</v>
      </c>
      <c r="U187" s="196" t="s">
        <v>771</v>
      </c>
      <c r="V187" s="196" t="s">
        <v>771</v>
      </c>
      <c r="W187" s="196" t="s">
        <v>771</v>
      </c>
      <c r="X187" s="196" t="s">
        <v>771</v>
      </c>
      <c r="Y187" s="196" t="s">
        <v>771</v>
      </c>
      <c r="Z187" s="196" t="s">
        <v>771</v>
      </c>
      <c r="AA187" s="196" t="s">
        <v>771</v>
      </c>
      <c r="AB187" s="196" t="s">
        <v>771</v>
      </c>
      <c r="AC187" s="196" t="s">
        <v>771</v>
      </c>
    </row>
    <row r="188" spans="3:29" x14ac:dyDescent="0.25">
      <c r="C188" s="171" t="s">
        <v>285</v>
      </c>
      <c r="E188" s="238" t="s">
        <v>658</v>
      </c>
      <c r="F188" s="171" t="s">
        <v>1004</v>
      </c>
      <c r="G188" s="238" t="s">
        <v>587</v>
      </c>
      <c r="H188" s="171" t="s">
        <v>238</v>
      </c>
      <c r="I188" s="238" t="s">
        <v>428</v>
      </c>
      <c r="J188" s="171" t="s">
        <v>240</v>
      </c>
      <c r="K188" s="196" t="s">
        <v>771</v>
      </c>
      <c r="L188" s="196" t="s">
        <v>771</v>
      </c>
      <c r="M188" s="196" t="s">
        <v>771</v>
      </c>
      <c r="N188" s="196" t="s">
        <v>771</v>
      </c>
      <c r="O188" s="196" t="s">
        <v>771</v>
      </c>
      <c r="P188" s="196" t="s">
        <v>771</v>
      </c>
      <c r="Q188" s="171" t="s">
        <v>769</v>
      </c>
      <c r="R188" s="171" t="s">
        <v>1002</v>
      </c>
      <c r="S188" s="196" t="s">
        <v>771</v>
      </c>
      <c r="T188" s="196" t="s">
        <v>771</v>
      </c>
      <c r="U188" s="196" t="s">
        <v>771</v>
      </c>
      <c r="V188" s="196" t="s">
        <v>771</v>
      </c>
      <c r="W188" s="196" t="s">
        <v>771</v>
      </c>
      <c r="X188" s="196" t="s">
        <v>771</v>
      </c>
      <c r="Y188" s="196" t="s">
        <v>771</v>
      </c>
      <c r="Z188" s="196" t="s">
        <v>771</v>
      </c>
      <c r="AA188" s="196" t="s">
        <v>771</v>
      </c>
      <c r="AB188" s="196" t="s">
        <v>771</v>
      </c>
      <c r="AC188" s="196" t="s">
        <v>771</v>
      </c>
    </row>
    <row r="189" spans="3:29" x14ac:dyDescent="0.25">
      <c r="C189" s="171" t="s">
        <v>333</v>
      </c>
      <c r="E189" s="238" t="s">
        <v>658</v>
      </c>
      <c r="F189" s="171" t="s">
        <v>1004</v>
      </c>
      <c r="G189" s="238" t="s">
        <v>587</v>
      </c>
      <c r="H189" s="171" t="s">
        <v>238</v>
      </c>
      <c r="I189" s="238" t="s">
        <v>429</v>
      </c>
      <c r="J189" s="171" t="s">
        <v>241</v>
      </c>
      <c r="K189" s="196" t="s">
        <v>771</v>
      </c>
      <c r="L189" s="196" t="s">
        <v>771</v>
      </c>
      <c r="M189" s="196" t="s">
        <v>771</v>
      </c>
      <c r="N189" s="196" t="s">
        <v>771</v>
      </c>
      <c r="O189" s="196" t="s">
        <v>771</v>
      </c>
      <c r="P189" s="196" t="s">
        <v>771</v>
      </c>
      <c r="Q189" s="171" t="s">
        <v>769</v>
      </c>
      <c r="R189" s="171" t="s">
        <v>1002</v>
      </c>
      <c r="S189" s="196" t="s">
        <v>771</v>
      </c>
      <c r="T189" s="196" t="s">
        <v>771</v>
      </c>
      <c r="U189" s="196" t="s">
        <v>771</v>
      </c>
      <c r="V189" s="196" t="s">
        <v>771</v>
      </c>
      <c r="W189" s="196" t="s">
        <v>771</v>
      </c>
      <c r="X189" s="196" t="s">
        <v>771</v>
      </c>
      <c r="Y189" s="196" t="s">
        <v>771</v>
      </c>
      <c r="Z189" s="196" t="s">
        <v>771</v>
      </c>
      <c r="AA189" s="196" t="s">
        <v>771</v>
      </c>
      <c r="AB189" s="196" t="s">
        <v>771</v>
      </c>
      <c r="AC189" s="196" t="s">
        <v>771</v>
      </c>
    </row>
    <row r="190" spans="3:29" x14ac:dyDescent="0.25">
      <c r="C190" s="171" t="s">
        <v>159</v>
      </c>
      <c r="E190" s="238" t="s">
        <v>651</v>
      </c>
      <c r="F190" s="171" t="s">
        <v>632</v>
      </c>
      <c r="G190" s="238" t="s">
        <v>538</v>
      </c>
      <c r="H190" s="171" t="s">
        <v>145</v>
      </c>
      <c r="I190" s="238" t="s">
        <v>366</v>
      </c>
      <c r="J190" s="171" t="s">
        <v>775</v>
      </c>
      <c r="K190" s="196" t="s">
        <v>771</v>
      </c>
      <c r="L190" s="196" t="s">
        <v>771</v>
      </c>
      <c r="M190" s="196" t="s">
        <v>771</v>
      </c>
      <c r="N190" s="196" t="s">
        <v>771</v>
      </c>
      <c r="O190" s="196" t="s">
        <v>771</v>
      </c>
      <c r="P190" s="196" t="s">
        <v>771</v>
      </c>
      <c r="Q190" s="171" t="s">
        <v>769</v>
      </c>
      <c r="R190" s="171" t="s">
        <v>690</v>
      </c>
      <c r="S190" s="196" t="s">
        <v>771</v>
      </c>
      <c r="T190" s="196" t="s">
        <v>771</v>
      </c>
      <c r="U190" s="196" t="s">
        <v>771</v>
      </c>
      <c r="V190" s="196" t="s">
        <v>771</v>
      </c>
      <c r="W190" s="196" t="s">
        <v>771</v>
      </c>
      <c r="X190" s="196" t="s">
        <v>771</v>
      </c>
      <c r="Y190" s="196" t="s">
        <v>771</v>
      </c>
      <c r="Z190" s="196" t="s">
        <v>771</v>
      </c>
      <c r="AA190" s="196" t="s">
        <v>771</v>
      </c>
      <c r="AB190" s="196" t="s">
        <v>771</v>
      </c>
      <c r="AC190" s="196" t="s">
        <v>771</v>
      </c>
    </row>
    <row r="191" spans="3:29" x14ac:dyDescent="0.25">
      <c r="C191" s="171" t="s">
        <v>144</v>
      </c>
      <c r="E191" s="238" t="s">
        <v>651</v>
      </c>
      <c r="F191" s="171" t="s">
        <v>632</v>
      </c>
      <c r="G191" s="238" t="s">
        <v>539</v>
      </c>
      <c r="H191" s="171" t="s">
        <v>146</v>
      </c>
      <c r="I191" s="238" t="s">
        <v>367</v>
      </c>
      <c r="J191" s="171" t="s">
        <v>146</v>
      </c>
      <c r="K191" s="196" t="s">
        <v>771</v>
      </c>
      <c r="L191" s="196" t="s">
        <v>771</v>
      </c>
      <c r="M191" s="196" t="s">
        <v>771</v>
      </c>
      <c r="N191" s="196" t="s">
        <v>771</v>
      </c>
      <c r="O191" s="196" t="s">
        <v>771</v>
      </c>
      <c r="P191" s="196" t="s">
        <v>771</v>
      </c>
      <c r="Q191" s="171" t="s">
        <v>769</v>
      </c>
      <c r="R191" s="171" t="s">
        <v>690</v>
      </c>
      <c r="S191" s="196" t="s">
        <v>771</v>
      </c>
      <c r="T191" s="196" t="s">
        <v>771</v>
      </c>
      <c r="U191" s="196" t="s">
        <v>771</v>
      </c>
      <c r="V191" s="196" t="s">
        <v>771</v>
      </c>
      <c r="W191" s="196" t="s">
        <v>771</v>
      </c>
      <c r="X191" s="196" t="s">
        <v>771</v>
      </c>
      <c r="Y191" s="196" t="s">
        <v>771</v>
      </c>
      <c r="Z191" s="196" t="s">
        <v>771</v>
      </c>
      <c r="AA191" s="196" t="s">
        <v>771</v>
      </c>
      <c r="AB191" s="196" t="s">
        <v>771</v>
      </c>
      <c r="AC191" s="196" t="s">
        <v>771</v>
      </c>
    </row>
    <row r="192" spans="3:29" x14ac:dyDescent="0.25">
      <c r="C192" s="171" t="s">
        <v>141</v>
      </c>
      <c r="E192" s="238" t="s">
        <v>651</v>
      </c>
      <c r="F192" s="171" t="s">
        <v>632</v>
      </c>
      <c r="G192" s="238" t="s">
        <v>540</v>
      </c>
      <c r="H192" s="171" t="s">
        <v>147</v>
      </c>
      <c r="I192" s="238" t="s">
        <v>368</v>
      </c>
      <c r="J192" s="171" t="s">
        <v>148</v>
      </c>
      <c r="K192" s="196" t="s">
        <v>771</v>
      </c>
      <c r="L192" s="196" t="s">
        <v>771</v>
      </c>
      <c r="M192" s="196" t="s">
        <v>771</v>
      </c>
      <c r="N192" s="196" t="s">
        <v>771</v>
      </c>
      <c r="O192" s="196" t="s">
        <v>771</v>
      </c>
      <c r="P192" s="196" t="s">
        <v>771</v>
      </c>
      <c r="Q192" s="171" t="s">
        <v>769</v>
      </c>
      <c r="R192" s="171" t="s">
        <v>690</v>
      </c>
      <c r="S192" s="196" t="s">
        <v>771</v>
      </c>
      <c r="T192" s="196" t="s">
        <v>771</v>
      </c>
      <c r="U192" s="196" t="s">
        <v>771</v>
      </c>
      <c r="V192" s="196" t="s">
        <v>771</v>
      </c>
      <c r="W192" s="196" t="s">
        <v>771</v>
      </c>
      <c r="X192" s="196" t="s">
        <v>771</v>
      </c>
      <c r="Y192" s="196" t="s">
        <v>771</v>
      </c>
      <c r="Z192" s="196" t="s">
        <v>771</v>
      </c>
      <c r="AA192" s="196" t="s">
        <v>771</v>
      </c>
      <c r="AB192" s="196" t="s">
        <v>771</v>
      </c>
      <c r="AC192" s="196" t="s">
        <v>771</v>
      </c>
    </row>
    <row r="193" spans="1:29" x14ac:dyDescent="0.25">
      <c r="C193" s="171" t="s">
        <v>142</v>
      </c>
      <c r="E193" s="238" t="s">
        <v>651</v>
      </c>
      <c r="F193" s="171" t="s">
        <v>632</v>
      </c>
      <c r="G193" s="238" t="s">
        <v>540</v>
      </c>
      <c r="H193" s="171" t="s">
        <v>147</v>
      </c>
      <c r="I193" s="238" t="s">
        <v>369</v>
      </c>
      <c r="J193" s="171" t="s">
        <v>959</v>
      </c>
      <c r="K193" s="196" t="s">
        <v>771</v>
      </c>
      <c r="L193" s="196" t="s">
        <v>771</v>
      </c>
      <c r="M193" s="196" t="s">
        <v>771</v>
      </c>
      <c r="N193" s="196" t="s">
        <v>771</v>
      </c>
      <c r="O193" s="196" t="s">
        <v>771</v>
      </c>
      <c r="P193" s="196" t="s">
        <v>771</v>
      </c>
      <c r="Q193" s="171" t="s">
        <v>769</v>
      </c>
      <c r="R193" s="171" t="s">
        <v>690</v>
      </c>
      <c r="S193" s="196" t="s">
        <v>771</v>
      </c>
      <c r="T193" s="196" t="s">
        <v>771</v>
      </c>
      <c r="U193" s="196" t="s">
        <v>771</v>
      </c>
      <c r="V193" s="196" t="s">
        <v>771</v>
      </c>
      <c r="W193" s="196" t="s">
        <v>771</v>
      </c>
      <c r="X193" s="196" t="s">
        <v>771</v>
      </c>
      <c r="Y193" s="196" t="s">
        <v>771</v>
      </c>
      <c r="Z193" s="196" t="s">
        <v>771</v>
      </c>
      <c r="AA193" s="196" t="s">
        <v>771</v>
      </c>
      <c r="AB193" s="196" t="s">
        <v>771</v>
      </c>
      <c r="AC193" s="196" t="s">
        <v>771</v>
      </c>
    </row>
    <row r="194" spans="1:29" x14ac:dyDescent="0.25">
      <c r="C194" s="171" t="s">
        <v>143</v>
      </c>
      <c r="E194" s="238" t="s">
        <v>651</v>
      </c>
      <c r="F194" s="171" t="s">
        <v>632</v>
      </c>
      <c r="G194" s="238" t="s">
        <v>540</v>
      </c>
      <c r="H194" s="171" t="s">
        <v>147</v>
      </c>
      <c r="I194" s="238" t="s">
        <v>960</v>
      </c>
      <c r="J194" s="171" t="s">
        <v>961</v>
      </c>
      <c r="K194" s="196" t="s">
        <v>771</v>
      </c>
      <c r="L194" s="196" t="s">
        <v>771</v>
      </c>
      <c r="M194" s="196" t="s">
        <v>771</v>
      </c>
      <c r="N194" s="196" t="s">
        <v>771</v>
      </c>
      <c r="O194" s="196" t="s">
        <v>771</v>
      </c>
      <c r="P194" s="196" t="s">
        <v>771</v>
      </c>
      <c r="Q194" s="171" t="s">
        <v>769</v>
      </c>
      <c r="R194" s="171" t="s">
        <v>690</v>
      </c>
      <c r="S194" s="196" t="s">
        <v>771</v>
      </c>
      <c r="T194" s="196" t="s">
        <v>771</v>
      </c>
      <c r="U194" s="196" t="s">
        <v>771</v>
      </c>
      <c r="V194" s="196" t="s">
        <v>771</v>
      </c>
      <c r="W194" s="196" t="s">
        <v>771</v>
      </c>
      <c r="X194" s="196" t="s">
        <v>771</v>
      </c>
      <c r="Y194" s="196" t="s">
        <v>771</v>
      </c>
      <c r="Z194" s="196" t="s">
        <v>771</v>
      </c>
      <c r="AA194" s="196" t="s">
        <v>771</v>
      </c>
      <c r="AB194" s="196" t="s">
        <v>771</v>
      </c>
      <c r="AC194" s="196" t="s">
        <v>771</v>
      </c>
    </row>
    <row r="195" spans="1:29" x14ac:dyDescent="0.25">
      <c r="C195" s="171" t="s">
        <v>311</v>
      </c>
      <c r="E195" s="238" t="s">
        <v>651</v>
      </c>
      <c r="F195" s="171" t="s">
        <v>632</v>
      </c>
      <c r="G195" s="238" t="s">
        <v>541</v>
      </c>
      <c r="H195" s="171" t="s">
        <v>149</v>
      </c>
      <c r="I195" s="238" t="s">
        <v>370</v>
      </c>
      <c r="J195" s="171" t="s">
        <v>962</v>
      </c>
      <c r="K195" s="196" t="s">
        <v>771</v>
      </c>
      <c r="L195" s="196" t="s">
        <v>771</v>
      </c>
      <c r="M195" s="196" t="s">
        <v>771</v>
      </c>
      <c r="N195" s="196" t="s">
        <v>771</v>
      </c>
      <c r="O195" s="196" t="s">
        <v>771</v>
      </c>
      <c r="P195" s="196" t="s">
        <v>771</v>
      </c>
      <c r="Q195" s="171" t="s">
        <v>769</v>
      </c>
      <c r="R195" s="171" t="s">
        <v>690</v>
      </c>
      <c r="S195" s="196" t="s">
        <v>771</v>
      </c>
      <c r="T195" s="196" t="s">
        <v>771</v>
      </c>
      <c r="U195" s="196" t="s">
        <v>771</v>
      </c>
      <c r="V195" s="196" t="s">
        <v>771</v>
      </c>
      <c r="W195" s="196" t="s">
        <v>771</v>
      </c>
      <c r="X195" s="196" t="s">
        <v>771</v>
      </c>
      <c r="Y195" s="196" t="s">
        <v>771</v>
      </c>
      <c r="Z195" s="196" t="s">
        <v>771</v>
      </c>
      <c r="AA195" s="196" t="s">
        <v>771</v>
      </c>
      <c r="AB195" s="196" t="s">
        <v>771</v>
      </c>
      <c r="AC195" s="196" t="s">
        <v>771</v>
      </c>
    </row>
    <row r="196" spans="1:29" x14ac:dyDescent="0.25">
      <c r="C196" s="171" t="s">
        <v>197</v>
      </c>
      <c r="E196" s="238" t="s">
        <v>651</v>
      </c>
      <c r="F196" s="171" t="s">
        <v>632</v>
      </c>
      <c r="G196" s="238" t="s">
        <v>541</v>
      </c>
      <c r="H196" s="171" t="s">
        <v>149</v>
      </c>
      <c r="I196" s="238" t="s">
        <v>963</v>
      </c>
      <c r="J196" s="171" t="s">
        <v>964</v>
      </c>
      <c r="K196" s="196" t="s">
        <v>771</v>
      </c>
      <c r="L196" s="196" t="s">
        <v>771</v>
      </c>
      <c r="M196" s="196" t="s">
        <v>771</v>
      </c>
      <c r="N196" s="196" t="s">
        <v>771</v>
      </c>
      <c r="O196" s="196" t="s">
        <v>771</v>
      </c>
      <c r="P196" s="196" t="s">
        <v>771</v>
      </c>
      <c r="Q196" s="171" t="s">
        <v>769</v>
      </c>
      <c r="R196" s="171" t="s">
        <v>690</v>
      </c>
      <c r="S196" s="196" t="s">
        <v>771</v>
      </c>
      <c r="T196" s="196" t="s">
        <v>771</v>
      </c>
      <c r="U196" s="196" t="s">
        <v>771</v>
      </c>
      <c r="V196" s="196" t="s">
        <v>771</v>
      </c>
      <c r="W196" s="196" t="s">
        <v>771</v>
      </c>
      <c r="X196" s="196" t="s">
        <v>771</v>
      </c>
      <c r="Y196" s="196" t="s">
        <v>771</v>
      </c>
      <c r="Z196" s="196" t="s">
        <v>771</v>
      </c>
      <c r="AA196" s="196" t="s">
        <v>771</v>
      </c>
      <c r="AB196" s="196" t="s">
        <v>771</v>
      </c>
      <c r="AC196" s="196" t="s">
        <v>771</v>
      </c>
    </row>
    <row r="197" spans="1:29" x14ac:dyDescent="0.25">
      <c r="C197" s="171" t="s">
        <v>127</v>
      </c>
      <c r="E197" s="238" t="s">
        <v>651</v>
      </c>
      <c r="F197" s="171" t="s">
        <v>632</v>
      </c>
      <c r="G197" s="238" t="s">
        <v>541</v>
      </c>
      <c r="H197" s="171" t="s">
        <v>149</v>
      </c>
      <c r="I197" s="238" t="s">
        <v>965</v>
      </c>
      <c r="J197" s="171" t="s">
        <v>966</v>
      </c>
      <c r="K197" s="196" t="s">
        <v>771</v>
      </c>
      <c r="L197" s="196" t="s">
        <v>771</v>
      </c>
      <c r="M197" s="196" t="s">
        <v>771</v>
      </c>
      <c r="N197" s="196" t="s">
        <v>771</v>
      </c>
      <c r="O197" s="196" t="s">
        <v>771</v>
      </c>
      <c r="P197" s="196" t="s">
        <v>771</v>
      </c>
      <c r="Q197" s="171" t="s">
        <v>769</v>
      </c>
      <c r="R197" s="171" t="s">
        <v>690</v>
      </c>
      <c r="S197" s="196" t="s">
        <v>771</v>
      </c>
      <c r="T197" s="196" t="s">
        <v>771</v>
      </c>
      <c r="U197" s="196" t="s">
        <v>771</v>
      </c>
      <c r="V197" s="196" t="s">
        <v>771</v>
      </c>
      <c r="W197" s="196" t="s">
        <v>771</v>
      </c>
      <c r="X197" s="196" t="s">
        <v>771</v>
      </c>
      <c r="Y197" s="196" t="s">
        <v>771</v>
      </c>
      <c r="Z197" s="196" t="s">
        <v>771</v>
      </c>
      <c r="AA197" s="196" t="s">
        <v>771</v>
      </c>
      <c r="AB197" s="196" t="s">
        <v>771</v>
      </c>
      <c r="AC197" s="196" t="s">
        <v>771</v>
      </c>
    </row>
    <row r="198" spans="1:29" x14ac:dyDescent="0.25">
      <c r="C198" s="171" t="s">
        <v>156</v>
      </c>
      <c r="E198" s="238" t="s">
        <v>651</v>
      </c>
      <c r="F198" s="171" t="s">
        <v>632</v>
      </c>
      <c r="G198" s="238" t="s">
        <v>541</v>
      </c>
      <c r="H198" s="171" t="s">
        <v>149</v>
      </c>
      <c r="I198" s="238" t="s">
        <v>967</v>
      </c>
      <c r="J198" s="171" t="s">
        <v>968</v>
      </c>
      <c r="K198" s="196" t="s">
        <v>771</v>
      </c>
      <c r="L198" s="196" t="s">
        <v>771</v>
      </c>
      <c r="M198" s="196" t="s">
        <v>771</v>
      </c>
      <c r="N198" s="196" t="s">
        <v>771</v>
      </c>
      <c r="O198" s="196" t="s">
        <v>771</v>
      </c>
      <c r="P198" s="196" t="s">
        <v>771</v>
      </c>
      <c r="Q198" s="171" t="s">
        <v>769</v>
      </c>
      <c r="R198" s="171" t="s">
        <v>690</v>
      </c>
      <c r="S198" s="196" t="s">
        <v>771</v>
      </c>
      <c r="T198" s="196" t="s">
        <v>771</v>
      </c>
      <c r="U198" s="196" t="s">
        <v>771</v>
      </c>
      <c r="V198" s="196" t="s">
        <v>771</v>
      </c>
      <c r="W198" s="196" t="s">
        <v>771</v>
      </c>
      <c r="X198" s="196" t="s">
        <v>771</v>
      </c>
      <c r="Y198" s="196" t="s">
        <v>771</v>
      </c>
      <c r="Z198" s="196" t="s">
        <v>771</v>
      </c>
      <c r="AA198" s="196" t="s">
        <v>771</v>
      </c>
      <c r="AB198" s="196" t="s">
        <v>771</v>
      </c>
      <c r="AC198" s="196" t="s">
        <v>771</v>
      </c>
    </row>
    <row r="199" spans="1:29" x14ac:dyDescent="0.25">
      <c r="C199" s="171" t="s">
        <v>220</v>
      </c>
      <c r="E199" s="238" t="s">
        <v>668</v>
      </c>
      <c r="F199" s="171" t="s">
        <v>645</v>
      </c>
      <c r="G199" s="238" t="s">
        <v>616</v>
      </c>
      <c r="H199" s="171" t="s">
        <v>323</v>
      </c>
      <c r="I199" s="238" t="s">
        <v>510</v>
      </c>
      <c r="J199" s="171" t="s">
        <v>323</v>
      </c>
      <c r="K199" s="196" t="s">
        <v>771</v>
      </c>
      <c r="L199" s="196" t="s">
        <v>771</v>
      </c>
      <c r="M199" s="171" t="s">
        <v>770</v>
      </c>
      <c r="N199" s="171" t="s">
        <v>758</v>
      </c>
      <c r="O199" s="171" t="s">
        <v>768</v>
      </c>
      <c r="P199" s="171" t="s">
        <v>759</v>
      </c>
      <c r="Q199" s="171" t="s">
        <v>769</v>
      </c>
      <c r="R199" s="171" t="s">
        <v>693</v>
      </c>
      <c r="S199" s="196" t="s">
        <v>771</v>
      </c>
      <c r="T199" s="196" t="s">
        <v>771</v>
      </c>
      <c r="U199" s="196" t="s">
        <v>771</v>
      </c>
      <c r="V199" s="196" t="s">
        <v>771</v>
      </c>
      <c r="W199" s="196" t="s">
        <v>771</v>
      </c>
      <c r="X199" s="196" t="s">
        <v>771</v>
      </c>
      <c r="Y199" s="196" t="s">
        <v>771</v>
      </c>
      <c r="Z199" s="196" t="s">
        <v>771</v>
      </c>
      <c r="AA199" s="196" t="s">
        <v>771</v>
      </c>
      <c r="AB199" s="196" t="s">
        <v>771</v>
      </c>
      <c r="AC199" s="196" t="s">
        <v>771</v>
      </c>
    </row>
    <row r="200" spans="1:29" x14ac:dyDescent="0.25">
      <c r="C200" s="171" t="s">
        <v>225</v>
      </c>
      <c r="E200" s="238" t="s">
        <v>668</v>
      </c>
      <c r="F200" s="171" t="s">
        <v>645</v>
      </c>
      <c r="G200" s="238" t="s">
        <v>617</v>
      </c>
      <c r="H200" s="171" t="s">
        <v>324</v>
      </c>
      <c r="I200" s="238" t="s">
        <v>511</v>
      </c>
      <c r="J200" s="171" t="s">
        <v>325</v>
      </c>
      <c r="K200" s="196" t="s">
        <v>771</v>
      </c>
      <c r="L200" s="196" t="s">
        <v>771</v>
      </c>
      <c r="M200" s="171" t="s">
        <v>770</v>
      </c>
      <c r="N200" s="171" t="s">
        <v>1005</v>
      </c>
      <c r="O200" s="171" t="s">
        <v>768</v>
      </c>
      <c r="P200" s="171" t="s">
        <v>759</v>
      </c>
      <c r="Q200" s="171" t="s">
        <v>769</v>
      </c>
      <c r="R200" s="171" t="s">
        <v>693</v>
      </c>
      <c r="S200" s="196" t="s">
        <v>771</v>
      </c>
      <c r="T200" s="196" t="s">
        <v>771</v>
      </c>
      <c r="U200" s="196" t="s">
        <v>771</v>
      </c>
      <c r="V200" s="196" t="s">
        <v>771</v>
      </c>
      <c r="W200" s="196" t="s">
        <v>771</v>
      </c>
      <c r="X200" s="196" t="s">
        <v>771</v>
      </c>
      <c r="Y200" s="196" t="s">
        <v>771</v>
      </c>
      <c r="Z200" s="196" t="s">
        <v>771</v>
      </c>
      <c r="AA200" s="196" t="s">
        <v>771</v>
      </c>
      <c r="AB200" s="196" t="s">
        <v>771</v>
      </c>
      <c r="AC200" s="196" t="s">
        <v>771</v>
      </c>
    </row>
    <row r="201" spans="1:29" x14ac:dyDescent="0.25">
      <c r="C201" s="171" t="s">
        <v>165</v>
      </c>
      <c r="E201" s="238" t="s">
        <v>668</v>
      </c>
      <c r="F201" s="171" t="s">
        <v>645</v>
      </c>
      <c r="G201" s="238" t="s">
        <v>618</v>
      </c>
      <c r="H201" s="171" t="s">
        <v>326</v>
      </c>
      <c r="I201" s="238" t="s">
        <v>512</v>
      </c>
      <c r="J201" s="171" t="s">
        <v>326</v>
      </c>
      <c r="K201" s="196" t="s">
        <v>771</v>
      </c>
      <c r="L201" s="196" t="s">
        <v>771</v>
      </c>
      <c r="M201" s="171" t="s">
        <v>770</v>
      </c>
      <c r="N201" s="171" t="s">
        <v>761</v>
      </c>
      <c r="O201" s="171" t="s">
        <v>768</v>
      </c>
      <c r="P201" s="171" t="s">
        <v>759</v>
      </c>
      <c r="Q201" s="171" t="s">
        <v>769</v>
      </c>
      <c r="R201" s="171" t="s">
        <v>693</v>
      </c>
      <c r="S201" s="196" t="s">
        <v>771</v>
      </c>
      <c r="T201" s="196" t="s">
        <v>771</v>
      </c>
      <c r="U201" s="196" t="s">
        <v>771</v>
      </c>
      <c r="V201" s="196" t="s">
        <v>771</v>
      </c>
      <c r="W201" s="196" t="s">
        <v>771</v>
      </c>
      <c r="X201" s="196" t="s">
        <v>771</v>
      </c>
      <c r="Y201" s="196" t="s">
        <v>771</v>
      </c>
      <c r="Z201" s="196" t="s">
        <v>771</v>
      </c>
      <c r="AA201" s="196" t="s">
        <v>771</v>
      </c>
      <c r="AB201" s="196" t="s">
        <v>771</v>
      </c>
      <c r="AC201" s="196" t="s">
        <v>771</v>
      </c>
    </row>
    <row r="202" spans="1:29" x14ac:dyDescent="0.25">
      <c r="C202" s="171" t="s">
        <v>315</v>
      </c>
      <c r="E202" s="238" t="s">
        <v>668</v>
      </c>
      <c r="F202" s="171" t="s">
        <v>645</v>
      </c>
      <c r="G202" s="238" t="s">
        <v>619</v>
      </c>
      <c r="H202" s="171" t="s">
        <v>327</v>
      </c>
      <c r="I202" s="238" t="s">
        <v>513</v>
      </c>
      <c r="J202" s="171" t="s">
        <v>327</v>
      </c>
      <c r="K202" s="196" t="s">
        <v>771</v>
      </c>
      <c r="L202" s="196" t="s">
        <v>771</v>
      </c>
      <c r="M202" s="171" t="s">
        <v>770</v>
      </c>
      <c r="N202" s="171" t="s">
        <v>762</v>
      </c>
      <c r="O202" s="171" t="s">
        <v>768</v>
      </c>
      <c r="P202" s="171" t="s">
        <v>759</v>
      </c>
      <c r="Q202" s="171" t="s">
        <v>769</v>
      </c>
      <c r="R202" s="171" t="s">
        <v>693</v>
      </c>
      <c r="S202" s="196" t="s">
        <v>771</v>
      </c>
      <c r="T202" s="196" t="s">
        <v>771</v>
      </c>
      <c r="U202" s="196" t="s">
        <v>771</v>
      </c>
      <c r="V202" s="196" t="s">
        <v>771</v>
      </c>
      <c r="W202" s="196" t="s">
        <v>771</v>
      </c>
      <c r="X202" s="196" t="s">
        <v>771</v>
      </c>
      <c r="Y202" s="196" t="s">
        <v>771</v>
      </c>
      <c r="Z202" s="196" t="s">
        <v>771</v>
      </c>
      <c r="AA202" s="196" t="s">
        <v>771</v>
      </c>
      <c r="AB202" s="196" t="s">
        <v>771</v>
      </c>
      <c r="AC202" s="196" t="s">
        <v>771</v>
      </c>
    </row>
    <row r="203" spans="1:29" x14ac:dyDescent="0.25">
      <c r="C203" s="171" t="s">
        <v>211</v>
      </c>
      <c r="E203" s="238" t="s">
        <v>668</v>
      </c>
      <c r="F203" s="171" t="s">
        <v>645</v>
      </c>
      <c r="G203" s="238" t="s">
        <v>620</v>
      </c>
      <c r="H203" s="171" t="s">
        <v>328</v>
      </c>
      <c r="I203" s="238" t="s">
        <v>514</v>
      </c>
      <c r="J203" s="171" t="s">
        <v>328</v>
      </c>
      <c r="K203" s="196" t="s">
        <v>771</v>
      </c>
      <c r="L203" s="196" t="s">
        <v>771</v>
      </c>
      <c r="M203" s="171" t="s">
        <v>770</v>
      </c>
      <c r="N203" s="171" t="s">
        <v>763</v>
      </c>
      <c r="O203" s="171" t="s">
        <v>768</v>
      </c>
      <c r="P203" s="171" t="s">
        <v>759</v>
      </c>
      <c r="Q203" s="171" t="s">
        <v>769</v>
      </c>
      <c r="R203" s="171" t="s">
        <v>693</v>
      </c>
      <c r="S203" s="196" t="s">
        <v>771</v>
      </c>
      <c r="T203" s="196" t="s">
        <v>771</v>
      </c>
      <c r="U203" s="196" t="s">
        <v>771</v>
      </c>
      <c r="V203" s="196" t="s">
        <v>771</v>
      </c>
      <c r="W203" s="196" t="s">
        <v>771</v>
      </c>
      <c r="X203" s="196" t="s">
        <v>771</v>
      </c>
      <c r="Y203" s="196" t="s">
        <v>771</v>
      </c>
      <c r="Z203" s="196" t="s">
        <v>771</v>
      </c>
      <c r="AA203" s="196" t="s">
        <v>771</v>
      </c>
      <c r="AB203" s="196" t="s">
        <v>771</v>
      </c>
      <c r="AC203" s="196" t="s">
        <v>771</v>
      </c>
    </row>
    <row r="204" spans="1:29" x14ac:dyDescent="0.25">
      <c r="C204" s="171" t="s">
        <v>122</v>
      </c>
      <c r="E204" s="238" t="s">
        <v>649</v>
      </c>
      <c r="F204" s="171" t="s">
        <v>630</v>
      </c>
      <c r="G204" s="238" t="s">
        <v>530</v>
      </c>
      <c r="H204" s="171" t="s">
        <v>952</v>
      </c>
      <c r="I204" s="238" t="s">
        <v>358</v>
      </c>
      <c r="J204" s="171" t="s">
        <v>952</v>
      </c>
      <c r="K204" s="196" t="s">
        <v>771</v>
      </c>
      <c r="L204" s="196" t="s">
        <v>771</v>
      </c>
      <c r="M204" s="196" t="s">
        <v>771</v>
      </c>
      <c r="N204" s="196" t="s">
        <v>771</v>
      </c>
      <c r="O204" s="196" t="s">
        <v>771</v>
      </c>
      <c r="P204" s="196" t="s">
        <v>771</v>
      </c>
      <c r="Q204" s="171" t="s">
        <v>769</v>
      </c>
      <c r="R204" s="171" t="s">
        <v>685</v>
      </c>
      <c r="S204" s="196" t="s">
        <v>771</v>
      </c>
      <c r="T204" s="196" t="s">
        <v>771</v>
      </c>
      <c r="U204" s="196" t="s">
        <v>771</v>
      </c>
      <c r="V204" s="196" t="s">
        <v>771</v>
      </c>
      <c r="W204" s="196" t="s">
        <v>771</v>
      </c>
      <c r="X204" s="196" t="s">
        <v>771</v>
      </c>
      <c r="Y204" s="196" t="s">
        <v>771</v>
      </c>
      <c r="Z204" s="196" t="s">
        <v>771</v>
      </c>
      <c r="AA204" s="196" t="s">
        <v>771</v>
      </c>
      <c r="AB204" s="196" t="s">
        <v>771</v>
      </c>
      <c r="AC204" s="196" t="s">
        <v>771</v>
      </c>
    </row>
    <row r="205" spans="1:29" x14ac:dyDescent="0.25">
      <c r="C205" s="171" t="s">
        <v>217</v>
      </c>
      <c r="E205" s="238" t="s">
        <v>649</v>
      </c>
      <c r="F205" s="171" t="s">
        <v>630</v>
      </c>
      <c r="G205" s="238" t="s">
        <v>531</v>
      </c>
      <c r="H205" s="171" t="s">
        <v>953</v>
      </c>
      <c r="I205" s="238" t="s">
        <v>359</v>
      </c>
      <c r="J205" s="171" t="s">
        <v>953</v>
      </c>
      <c r="K205" s="171" t="s">
        <v>770</v>
      </c>
      <c r="L205" s="171" t="s">
        <v>955</v>
      </c>
      <c r="M205" s="196" t="s">
        <v>771</v>
      </c>
      <c r="N205" s="196" t="s">
        <v>771</v>
      </c>
      <c r="O205" s="196" t="s">
        <v>771</v>
      </c>
      <c r="P205" s="196" t="s">
        <v>771</v>
      </c>
      <c r="Q205" s="171" t="s">
        <v>769</v>
      </c>
      <c r="R205" s="171" t="s">
        <v>685</v>
      </c>
      <c r="S205" s="196" t="s">
        <v>771</v>
      </c>
      <c r="T205" s="196" t="s">
        <v>771</v>
      </c>
      <c r="U205" s="196" t="s">
        <v>771</v>
      </c>
      <c r="V205" s="196" t="s">
        <v>771</v>
      </c>
      <c r="W205" s="196" t="s">
        <v>771</v>
      </c>
      <c r="X205" s="196" t="s">
        <v>771</v>
      </c>
      <c r="Y205" s="196" t="s">
        <v>771</v>
      </c>
      <c r="Z205" s="196" t="s">
        <v>771</v>
      </c>
      <c r="AA205" s="196" t="s">
        <v>771</v>
      </c>
      <c r="AB205" s="196" t="s">
        <v>771</v>
      </c>
      <c r="AC205" s="196" t="s">
        <v>771</v>
      </c>
    </row>
    <row r="206" spans="1:29" x14ac:dyDescent="0.25">
      <c r="C206" s="171" t="s">
        <v>175</v>
      </c>
      <c r="E206" s="238" t="s">
        <v>649</v>
      </c>
      <c r="F206" s="171" t="s">
        <v>630</v>
      </c>
      <c r="G206" s="238" t="s">
        <v>532</v>
      </c>
      <c r="H206" s="171" t="s">
        <v>124</v>
      </c>
      <c r="I206" s="238" t="s">
        <v>360</v>
      </c>
      <c r="J206" s="171" t="s">
        <v>124</v>
      </c>
      <c r="K206" s="171" t="s">
        <v>770</v>
      </c>
      <c r="L206" s="171" t="s">
        <v>956</v>
      </c>
      <c r="M206" s="196" t="s">
        <v>771</v>
      </c>
      <c r="N206" s="196" t="s">
        <v>771</v>
      </c>
      <c r="O206" s="196" t="s">
        <v>771</v>
      </c>
      <c r="P206" s="196" t="s">
        <v>771</v>
      </c>
      <c r="Q206" s="171" t="s">
        <v>769</v>
      </c>
      <c r="R206" s="171" t="s">
        <v>685</v>
      </c>
      <c r="S206" s="196" t="s">
        <v>771</v>
      </c>
      <c r="T206" s="196" t="s">
        <v>771</v>
      </c>
      <c r="U206" s="196" t="s">
        <v>771</v>
      </c>
      <c r="V206" s="196" t="s">
        <v>771</v>
      </c>
      <c r="W206" s="196" t="s">
        <v>771</v>
      </c>
      <c r="X206" s="196" t="s">
        <v>771</v>
      </c>
      <c r="Y206" s="196" t="s">
        <v>771</v>
      </c>
      <c r="Z206" s="196" t="s">
        <v>771</v>
      </c>
      <c r="AA206" s="196" t="s">
        <v>771</v>
      </c>
      <c r="AB206" s="196" t="s">
        <v>771</v>
      </c>
      <c r="AC206" s="196" t="s">
        <v>771</v>
      </c>
    </row>
    <row r="207" spans="1:29" x14ac:dyDescent="0.25">
      <c r="C207" s="171" t="s">
        <v>200</v>
      </c>
      <c r="E207" s="238" t="s">
        <v>649</v>
      </c>
      <c r="F207" s="171" t="s">
        <v>630</v>
      </c>
      <c r="G207" s="238" t="s">
        <v>533</v>
      </c>
      <c r="H207" s="171" t="s">
        <v>954</v>
      </c>
      <c r="I207" s="238" t="s">
        <v>361</v>
      </c>
      <c r="J207" s="171" t="s">
        <v>954</v>
      </c>
      <c r="K207" s="196" t="s">
        <v>770</v>
      </c>
      <c r="L207" s="196" t="s">
        <v>683</v>
      </c>
      <c r="M207" s="196" t="s">
        <v>771</v>
      </c>
      <c r="N207" s="196" t="s">
        <v>771</v>
      </c>
      <c r="O207" s="196" t="s">
        <v>771</v>
      </c>
      <c r="P207" s="196" t="s">
        <v>771</v>
      </c>
      <c r="Q207" s="171" t="s">
        <v>769</v>
      </c>
      <c r="R207" s="171" t="s">
        <v>685</v>
      </c>
      <c r="S207" s="196" t="s">
        <v>771</v>
      </c>
      <c r="T207" s="196" t="s">
        <v>771</v>
      </c>
      <c r="U207" s="196" t="s">
        <v>771</v>
      </c>
      <c r="V207" s="196" t="s">
        <v>771</v>
      </c>
      <c r="W207" s="196" t="s">
        <v>771</v>
      </c>
      <c r="X207" s="196" t="s">
        <v>771</v>
      </c>
      <c r="Y207" s="196" t="s">
        <v>771</v>
      </c>
      <c r="Z207" s="196" t="s">
        <v>771</v>
      </c>
      <c r="AA207" s="196" t="s">
        <v>771</v>
      </c>
      <c r="AB207" s="196" t="s">
        <v>771</v>
      </c>
      <c r="AC207" s="196" t="s">
        <v>771</v>
      </c>
    </row>
    <row r="208" spans="1:29" x14ac:dyDescent="0.25">
      <c r="A208" s="169"/>
      <c r="B208" s="171"/>
    </row>
  </sheetData>
  <autoFilter ref="E1:AC207"/>
  <sortState ref="C3:C207">
    <sortCondition ref="C207"/>
  </sortState>
  <conditionalFormatting sqref="J198:J207 J3:J41 J45:J193">
    <cfRule type="duplicateValues" dxfId="17" priority="210"/>
  </conditionalFormatting>
  <conditionalFormatting sqref="J194">
    <cfRule type="duplicateValues" dxfId="16" priority="14"/>
  </conditionalFormatting>
  <conditionalFormatting sqref="I198:I207 I2:I41 I45:I194">
    <cfRule type="duplicateValues" dxfId="15" priority="213"/>
  </conditionalFormatting>
  <conditionalFormatting sqref="J195">
    <cfRule type="duplicateValues" dxfId="14" priority="11"/>
  </conditionalFormatting>
  <conditionalFormatting sqref="I195">
    <cfRule type="duplicateValues" dxfId="13" priority="12"/>
  </conditionalFormatting>
  <conditionalFormatting sqref="J196">
    <cfRule type="duplicateValues" dxfId="12" priority="9"/>
  </conditionalFormatting>
  <conditionalFormatting sqref="I196">
    <cfRule type="duplicateValues" dxfId="11" priority="10"/>
  </conditionalFormatting>
  <conditionalFormatting sqref="J197">
    <cfRule type="duplicateValues" dxfId="10" priority="7"/>
  </conditionalFormatting>
  <conditionalFormatting sqref="I197">
    <cfRule type="duplicateValues" dxfId="9" priority="8"/>
  </conditionalFormatting>
  <conditionalFormatting sqref="J42">
    <cfRule type="duplicateValues" dxfId="8" priority="5"/>
  </conditionalFormatting>
  <conditionalFormatting sqref="I42">
    <cfRule type="duplicateValues" dxfId="7" priority="6"/>
  </conditionalFormatting>
  <conditionalFormatting sqref="J43">
    <cfRule type="duplicateValues" dxfId="6" priority="3"/>
  </conditionalFormatting>
  <conditionalFormatting sqref="I43">
    <cfRule type="duplicateValues" dxfId="5" priority="4"/>
  </conditionalFormatting>
  <conditionalFormatting sqref="J44">
    <cfRule type="duplicateValues" dxfId="4" priority="1"/>
  </conditionalFormatting>
  <conditionalFormatting sqref="I44">
    <cfRule type="duplicateValues" dxfId="3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N55"/>
  <sheetViews>
    <sheetView showGridLines="0" zoomScale="115" zoomScaleNormal="115" workbookViewId="0"/>
  </sheetViews>
  <sheetFormatPr defaultColWidth="8.85546875" defaultRowHeight="15" x14ac:dyDescent="0.25"/>
  <cols>
    <col min="1" max="1" width="38.5703125" style="268" bestFit="1" customWidth="1"/>
    <col min="2" max="2" width="8.85546875" style="268"/>
    <col min="3" max="3" width="11.140625" style="268" bestFit="1" customWidth="1"/>
    <col min="4" max="4" width="8.85546875" style="268"/>
    <col min="5" max="5" width="11.140625" style="268" bestFit="1" customWidth="1"/>
    <col min="6" max="6" width="8.85546875" style="268"/>
    <col min="7" max="7" width="25.85546875" style="268" bestFit="1" customWidth="1"/>
    <col min="8" max="8" width="20.5703125" style="268" bestFit="1" customWidth="1"/>
    <col min="9" max="9" width="10.28515625" style="268" customWidth="1"/>
    <col min="10" max="10" width="13.140625" style="268" customWidth="1"/>
    <col min="11" max="11" width="16.42578125" style="268" bestFit="1" customWidth="1"/>
    <col min="12" max="12" width="8.85546875" style="268"/>
    <col min="13" max="13" width="25.85546875" style="268" bestFit="1" customWidth="1"/>
    <col min="14" max="14" width="49.5703125" style="268" bestFit="1" customWidth="1"/>
    <col min="15" max="16384" width="8.85546875" style="268"/>
  </cols>
  <sheetData>
    <row r="1" spans="1:14" s="241" customFormat="1" x14ac:dyDescent="0.25">
      <c r="A1" s="47" t="s">
        <v>44</v>
      </c>
      <c r="C1" s="265" t="s">
        <v>114</v>
      </c>
      <c r="E1" s="265" t="s">
        <v>101</v>
      </c>
      <c r="G1" s="265" t="s">
        <v>858</v>
      </c>
      <c r="H1" s="266" t="s">
        <v>914</v>
      </c>
      <c r="I1" s="266" t="s">
        <v>906</v>
      </c>
      <c r="J1" s="266" t="s">
        <v>907</v>
      </c>
      <c r="K1" s="266" t="s">
        <v>908</v>
      </c>
      <c r="M1" s="267" t="s">
        <v>914</v>
      </c>
      <c r="N1" s="266" t="s">
        <v>781</v>
      </c>
    </row>
    <row r="2" spans="1:14" x14ac:dyDescent="0.25">
      <c r="A2" s="12" t="s">
        <v>86</v>
      </c>
      <c r="C2" s="269" t="str">
        <f>'Bid Tab (F&amp;B Ops and CatMan) 10'!$B37</f>
        <v>VENDOR 1</v>
      </c>
      <c r="E2" s="269" t="s">
        <v>776</v>
      </c>
      <c r="G2" s="269" t="s">
        <v>859</v>
      </c>
      <c r="H2" s="270" t="s">
        <v>874</v>
      </c>
      <c r="I2" s="271" t="s">
        <v>771</v>
      </c>
      <c r="J2" s="270" t="s">
        <v>869</v>
      </c>
      <c r="K2" s="270" t="s">
        <v>909</v>
      </c>
      <c r="M2" s="269" t="s">
        <v>862</v>
      </c>
      <c r="N2" s="270" t="s">
        <v>927</v>
      </c>
    </row>
    <row r="3" spans="1:14" x14ac:dyDescent="0.25">
      <c r="A3" s="12" t="s">
        <v>29</v>
      </c>
      <c r="C3" s="269" t="str">
        <f>'Bid Tab (F&amp;B Ops and CatMan) 10'!$B38</f>
        <v>VENDOR 2</v>
      </c>
      <c r="E3" s="269" t="s">
        <v>778</v>
      </c>
      <c r="G3" s="269" t="s">
        <v>860</v>
      </c>
      <c r="H3" s="270" t="s">
        <v>870</v>
      </c>
      <c r="I3" s="271" t="s">
        <v>771</v>
      </c>
      <c r="J3" s="270" t="s">
        <v>869</v>
      </c>
      <c r="K3" s="270" t="s">
        <v>909</v>
      </c>
      <c r="M3" s="270" t="s">
        <v>891</v>
      </c>
      <c r="N3" s="270" t="s">
        <v>928</v>
      </c>
    </row>
    <row r="4" spans="1:14" x14ac:dyDescent="0.25">
      <c r="A4" s="12" t="s">
        <v>944</v>
      </c>
      <c r="C4" s="269" t="str">
        <f>'Bid Tab (F&amp;B Ops and CatMan) 10'!$B39</f>
        <v>VENDOR 3</v>
      </c>
      <c r="E4" s="269" t="s">
        <v>917</v>
      </c>
      <c r="G4" s="269" t="s">
        <v>861</v>
      </c>
      <c r="H4" s="270" t="s">
        <v>874</v>
      </c>
      <c r="I4" s="271" t="s">
        <v>771</v>
      </c>
      <c r="J4" s="270" t="s">
        <v>869</v>
      </c>
      <c r="K4" s="270" t="s">
        <v>909</v>
      </c>
      <c r="M4" s="269" t="s">
        <v>863</v>
      </c>
      <c r="N4" s="270" t="s">
        <v>927</v>
      </c>
    </row>
    <row r="5" spans="1:14" x14ac:dyDescent="0.25">
      <c r="A5" s="12" t="s">
        <v>945</v>
      </c>
      <c r="C5" s="269" t="str">
        <f>'Bid Tab (F&amp;B Ops and CatMan) 10'!$B40</f>
        <v>VENDOR 4</v>
      </c>
      <c r="E5" s="269" t="s">
        <v>777</v>
      </c>
      <c r="G5" s="269" t="s">
        <v>862</v>
      </c>
      <c r="H5" s="270" t="s">
        <v>870</v>
      </c>
      <c r="I5" s="271" t="s">
        <v>771</v>
      </c>
      <c r="J5" s="270" t="s">
        <v>869</v>
      </c>
      <c r="K5" s="270" t="s">
        <v>909</v>
      </c>
      <c r="M5" s="270" t="s">
        <v>872</v>
      </c>
      <c r="N5" s="270" t="s">
        <v>928</v>
      </c>
    </row>
    <row r="6" spans="1:14" x14ac:dyDescent="0.25">
      <c r="C6" s="269" t="str">
        <f>'Bid Tab (F&amp;B Ops and CatMan) 10'!$B41</f>
        <v>VENDOR 5</v>
      </c>
      <c r="G6" s="269" t="s">
        <v>863</v>
      </c>
      <c r="H6" s="270" t="s">
        <v>874</v>
      </c>
      <c r="I6" s="271" t="s">
        <v>771</v>
      </c>
      <c r="J6" s="270" t="s">
        <v>869</v>
      </c>
      <c r="K6" s="270" t="s">
        <v>909</v>
      </c>
      <c r="M6" s="270" t="s">
        <v>882</v>
      </c>
      <c r="N6" s="270" t="s">
        <v>929</v>
      </c>
    </row>
    <row r="7" spans="1:14" x14ac:dyDescent="0.25">
      <c r="A7" s="47" t="s">
        <v>87</v>
      </c>
      <c r="C7" s="269" t="str">
        <f>'Bid Tab (F&amp;B Ops and CatMan) 10'!$B42</f>
        <v>VENDOR 6</v>
      </c>
      <c r="G7" s="269" t="s">
        <v>912</v>
      </c>
      <c r="H7" s="269" t="s">
        <v>862</v>
      </c>
      <c r="I7" s="270" t="s">
        <v>870</v>
      </c>
      <c r="J7" s="270" t="s">
        <v>869</v>
      </c>
      <c r="K7" s="270" t="s">
        <v>909</v>
      </c>
      <c r="M7" s="270" t="s">
        <v>883</v>
      </c>
      <c r="N7" s="270" t="s">
        <v>929</v>
      </c>
    </row>
    <row r="8" spans="1:14" x14ac:dyDescent="0.25">
      <c r="A8" s="13" t="s">
        <v>918</v>
      </c>
      <c r="C8" s="269" t="str">
        <f>'Bid Tab (F&amp;B Ops and CatMan) 10'!$B43</f>
        <v>VENDOR 7</v>
      </c>
      <c r="G8" s="269" t="s">
        <v>865</v>
      </c>
      <c r="H8" s="270" t="s">
        <v>870</v>
      </c>
      <c r="I8" s="271" t="s">
        <v>771</v>
      </c>
      <c r="J8" s="270" t="s">
        <v>869</v>
      </c>
      <c r="K8" s="270" t="s">
        <v>909</v>
      </c>
      <c r="M8" s="270" t="s">
        <v>885</v>
      </c>
      <c r="N8" s="270" t="s">
        <v>929</v>
      </c>
    </row>
    <row r="9" spans="1:14" x14ac:dyDescent="0.25">
      <c r="A9" s="13" t="s">
        <v>88</v>
      </c>
      <c r="C9" s="269" t="str">
        <f>'Bid Tab (F&amp;B Ops and CatMan) 10'!$B44</f>
        <v>VENDOR 8</v>
      </c>
      <c r="G9" s="269" t="s">
        <v>864</v>
      </c>
      <c r="H9" s="270" t="s">
        <v>915</v>
      </c>
      <c r="I9" s="270" t="s">
        <v>874</v>
      </c>
      <c r="J9" s="270" t="s">
        <v>869</v>
      </c>
      <c r="K9" s="270" t="s">
        <v>909</v>
      </c>
      <c r="M9" s="270" t="s">
        <v>889</v>
      </c>
      <c r="N9" s="270" t="s">
        <v>930</v>
      </c>
    </row>
    <row r="10" spans="1:14" x14ac:dyDescent="0.25">
      <c r="A10" s="13" t="s">
        <v>89</v>
      </c>
      <c r="C10" s="269" t="str">
        <f>'Bid Tab (F&amp;B Ops and CatMan) 10'!$B45</f>
        <v>VENDOR 9</v>
      </c>
      <c r="G10" s="270" t="s">
        <v>866</v>
      </c>
      <c r="H10" s="269" t="s">
        <v>863</v>
      </c>
      <c r="I10" s="270" t="s">
        <v>874</v>
      </c>
      <c r="J10" s="270" t="s">
        <v>869</v>
      </c>
      <c r="K10" s="270" t="s">
        <v>909</v>
      </c>
      <c r="M10" s="270" t="s">
        <v>895</v>
      </c>
      <c r="N10" s="270" t="s">
        <v>931</v>
      </c>
    </row>
    <row r="11" spans="1:14" x14ac:dyDescent="0.25">
      <c r="C11" s="269" t="str">
        <f>'Bid Tab (F&amp;B Ops and CatMan) 10'!$B46</f>
        <v>VENDOR 10</v>
      </c>
      <c r="G11" s="270" t="s">
        <v>867</v>
      </c>
      <c r="H11" s="270" t="s">
        <v>874</v>
      </c>
      <c r="I11" s="271" t="s">
        <v>771</v>
      </c>
      <c r="J11" s="270" t="s">
        <v>869</v>
      </c>
      <c r="K11" s="270" t="s">
        <v>909</v>
      </c>
      <c r="M11" s="271" t="s">
        <v>874</v>
      </c>
      <c r="N11" s="270" t="s">
        <v>932</v>
      </c>
    </row>
    <row r="12" spans="1:14" x14ac:dyDescent="0.25">
      <c r="A12" s="47" t="s">
        <v>90</v>
      </c>
      <c r="G12" s="270" t="s">
        <v>868</v>
      </c>
      <c r="H12" s="270" t="s">
        <v>915</v>
      </c>
      <c r="I12" s="270" t="s">
        <v>874</v>
      </c>
      <c r="J12" s="270" t="s">
        <v>869</v>
      </c>
      <c r="K12" s="270" t="s">
        <v>909</v>
      </c>
      <c r="M12" s="269" t="s">
        <v>870</v>
      </c>
      <c r="N12" s="270" t="s">
        <v>932</v>
      </c>
    </row>
    <row r="13" spans="1:14" x14ac:dyDescent="0.25">
      <c r="A13" s="13" t="s">
        <v>79</v>
      </c>
      <c r="G13" s="270" t="s">
        <v>869</v>
      </c>
      <c r="H13" s="272" t="s">
        <v>771</v>
      </c>
      <c r="I13" s="272" t="s">
        <v>771</v>
      </c>
      <c r="J13" s="272" t="s">
        <v>771</v>
      </c>
      <c r="K13" s="270" t="s">
        <v>909</v>
      </c>
      <c r="M13" s="269" t="s">
        <v>880</v>
      </c>
      <c r="N13" s="270" t="s">
        <v>933</v>
      </c>
    </row>
    <row r="14" spans="1:14" x14ac:dyDescent="0.25">
      <c r="A14" s="13" t="s">
        <v>91</v>
      </c>
      <c r="G14" s="270" t="s">
        <v>891</v>
      </c>
      <c r="H14" s="270" t="s">
        <v>874</v>
      </c>
      <c r="I14" s="271" t="s">
        <v>771</v>
      </c>
      <c r="J14" s="270" t="s">
        <v>869</v>
      </c>
      <c r="K14" s="270" t="s">
        <v>909</v>
      </c>
      <c r="M14" s="269" t="s">
        <v>892</v>
      </c>
      <c r="N14" s="270" t="s">
        <v>934</v>
      </c>
    </row>
    <row r="15" spans="1:14" x14ac:dyDescent="0.25">
      <c r="A15" s="13" t="s">
        <v>94</v>
      </c>
      <c r="G15" s="270" t="s">
        <v>870</v>
      </c>
      <c r="H15" s="272" t="s">
        <v>771</v>
      </c>
      <c r="I15" s="272" t="s">
        <v>771</v>
      </c>
      <c r="J15" s="270" t="s">
        <v>869</v>
      </c>
      <c r="K15" s="270" t="s">
        <v>909</v>
      </c>
      <c r="M15" s="269" t="s">
        <v>896</v>
      </c>
      <c r="N15" s="270" t="s">
        <v>935</v>
      </c>
    </row>
    <row r="16" spans="1:14" x14ac:dyDescent="0.25">
      <c r="G16" s="270" t="s">
        <v>871</v>
      </c>
      <c r="H16" s="270" t="s">
        <v>916</v>
      </c>
      <c r="I16" s="270" t="s">
        <v>870</v>
      </c>
      <c r="J16" s="270" t="s">
        <v>869</v>
      </c>
      <c r="K16" s="270" t="s">
        <v>909</v>
      </c>
      <c r="M16" s="270" t="s">
        <v>915</v>
      </c>
      <c r="N16" s="270" t="s">
        <v>943</v>
      </c>
    </row>
    <row r="17" spans="1:14" x14ac:dyDescent="0.25">
      <c r="A17" s="244" t="s">
        <v>948</v>
      </c>
      <c r="G17" s="270" t="s">
        <v>872</v>
      </c>
      <c r="H17" s="270" t="s">
        <v>870</v>
      </c>
      <c r="I17" s="271" t="s">
        <v>771</v>
      </c>
      <c r="J17" s="270" t="s">
        <v>869</v>
      </c>
      <c r="K17" s="270" t="s">
        <v>909</v>
      </c>
      <c r="M17" s="270" t="s">
        <v>916</v>
      </c>
      <c r="N17" s="270" t="s">
        <v>943</v>
      </c>
    </row>
    <row r="18" spans="1:14" x14ac:dyDescent="0.25">
      <c r="A18" s="245">
        <f>IF('Bid Tab (F&amp;B Ops and CatMan) 10'!AO11=Reference!$A$8,'Bid Tab (F&amp;B Ops and CatMan) 10'!AJ11,IF('Bid Tab (F&amp;B Ops and CatMan) 10'!AU11=Reference!$A$8,'Bid Tab (F&amp;B Ops and CatMan) 10'!AP11,IF('Bid Tab (F&amp;B Ops and CatMan) 10'!BA11=Reference!$A$8,'Bid Tab (F&amp;B Ops and CatMan) 10'!AV11,IF('Bid Tab (F&amp;B Ops and CatMan) 10'!BG11=Reference!$A$8,'Bid Tab (F&amp;B Ops and CatMan) 10'!BB11,IF('Bid Tab (F&amp;B Ops and CatMan) 10'!BM11=Reference!$A$8,'Bid Tab (F&amp;B Ops and CatMan) 10'!BH11,IF('Bid Tab (F&amp;B Ops and CatMan) 10'!BS11=Reference!$A$8,'Bid Tab (F&amp;B Ops and CatMan) 10'!BN11,IF('Bid Tab (F&amp;B Ops and CatMan) 10'!BY11=Reference!$A$8,'Bid Tab (F&amp;B Ops and CatMan) 10'!BT11,IF('Bid Tab (F&amp;B Ops and CatMan) 10'!CE11=Reference!$A$8,'Bid Tab (F&amp;B Ops and CatMan) 10'!BZ11,IF('Bid Tab (F&amp;B Ops and CatMan) 10'!CK11=Reference!$A$8,'Bid Tab (F&amp;B Ops and CatMan) 10'!CF11,IF('Bid Tab (F&amp;B Ops and CatMan) 10'!CQ11=Reference!$A$8,'Bid Tab (F&amp;B Ops and CatMan) 10'!CL11,0))))))))))</f>
        <v>0</v>
      </c>
      <c r="G18" s="270" t="s">
        <v>913</v>
      </c>
      <c r="H18" s="269" t="s">
        <v>862</v>
      </c>
      <c r="I18" s="270" t="s">
        <v>870</v>
      </c>
      <c r="J18" s="270" t="s">
        <v>869</v>
      </c>
      <c r="K18" s="270" t="s">
        <v>909</v>
      </c>
      <c r="M18" s="269" t="s">
        <v>897</v>
      </c>
      <c r="N18" s="270" t="s">
        <v>935</v>
      </c>
    </row>
    <row r="19" spans="1:14" x14ac:dyDescent="0.25">
      <c r="A19" s="245">
        <f>IF('Bid Tab (F&amp;B Ops and CatMan) 10'!AO12=Reference!$A$8,'Bid Tab (F&amp;B Ops and CatMan) 10'!AJ12,IF('Bid Tab (F&amp;B Ops and CatMan) 10'!AU12=Reference!$A$8,'Bid Tab (F&amp;B Ops and CatMan) 10'!AP12,IF('Bid Tab (F&amp;B Ops and CatMan) 10'!BA12=Reference!$A$8,'Bid Tab (F&amp;B Ops and CatMan) 10'!AV12,IF('Bid Tab (F&amp;B Ops and CatMan) 10'!BG12=Reference!$A$8,'Bid Tab (F&amp;B Ops and CatMan) 10'!BB12,IF('Bid Tab (F&amp;B Ops and CatMan) 10'!BM12=Reference!$A$8,'Bid Tab (F&amp;B Ops and CatMan) 10'!BH12,IF('Bid Tab (F&amp;B Ops and CatMan) 10'!BS12=Reference!$A$8,'Bid Tab (F&amp;B Ops and CatMan) 10'!BN12,IF('Bid Tab (F&amp;B Ops and CatMan) 10'!BY12=Reference!$A$8,'Bid Tab (F&amp;B Ops and CatMan) 10'!BT12,IF('Bid Tab (F&amp;B Ops and CatMan) 10'!CE12=Reference!$A$8,'Bid Tab (F&amp;B Ops and CatMan) 10'!BZ12,IF('Bid Tab (F&amp;B Ops and CatMan) 10'!CK12=Reference!$A$8,'Bid Tab (F&amp;B Ops and CatMan) 10'!CF12,IF('Bid Tab (F&amp;B Ops and CatMan) 10'!CQ12=Reference!$A$8,'Bid Tab (F&amp;B Ops and CatMan) 10'!CL12,0))))))))))</f>
        <v>0</v>
      </c>
      <c r="G19" s="270" t="s">
        <v>873</v>
      </c>
      <c r="H19" s="270" t="s">
        <v>916</v>
      </c>
      <c r="I19" s="270" t="s">
        <v>870</v>
      </c>
      <c r="J19" s="270" t="s">
        <v>869</v>
      </c>
      <c r="K19" s="270" t="s">
        <v>909</v>
      </c>
      <c r="M19" s="270" t="s">
        <v>869</v>
      </c>
      <c r="N19" s="270" t="s">
        <v>938</v>
      </c>
    </row>
    <row r="20" spans="1:14" x14ac:dyDescent="0.25">
      <c r="A20" s="245">
        <f>IF('Bid Tab (F&amp;B Ops and CatMan) 10'!AO13=Reference!$A$8,'Bid Tab (F&amp;B Ops and CatMan) 10'!AJ13,IF('Bid Tab (F&amp;B Ops and CatMan) 10'!AU13=Reference!$A$8,'Bid Tab (F&amp;B Ops and CatMan) 10'!AP13,IF('Bid Tab (F&amp;B Ops and CatMan) 10'!BA13=Reference!$A$8,'Bid Tab (F&amp;B Ops and CatMan) 10'!AV13,IF('Bid Tab (F&amp;B Ops and CatMan) 10'!BG13=Reference!$A$8,'Bid Tab (F&amp;B Ops and CatMan) 10'!BB13,IF('Bid Tab (F&amp;B Ops and CatMan) 10'!BM13=Reference!$A$8,'Bid Tab (F&amp;B Ops and CatMan) 10'!BH13,IF('Bid Tab (F&amp;B Ops and CatMan) 10'!BS13=Reference!$A$8,'Bid Tab (F&amp;B Ops and CatMan) 10'!BN13,IF('Bid Tab (F&amp;B Ops and CatMan) 10'!BY13=Reference!$A$8,'Bid Tab (F&amp;B Ops and CatMan) 10'!BT13,IF('Bid Tab (F&amp;B Ops and CatMan) 10'!CE13=Reference!$A$8,'Bid Tab (F&amp;B Ops and CatMan) 10'!BZ13,IF('Bid Tab (F&amp;B Ops and CatMan) 10'!CK13=Reference!$A$8,'Bid Tab (F&amp;B Ops and CatMan) 10'!CF13,IF('Bid Tab (F&amp;B Ops and CatMan) 10'!CQ13=Reference!$A$8,'Bid Tab (F&amp;B Ops and CatMan) 10'!CL13,0))))))))))</f>
        <v>0</v>
      </c>
      <c r="G20" s="270" t="s">
        <v>874</v>
      </c>
      <c r="H20" s="272" t="s">
        <v>771</v>
      </c>
      <c r="I20" s="272" t="s">
        <v>771</v>
      </c>
      <c r="J20" s="270" t="s">
        <v>869</v>
      </c>
      <c r="K20" s="270" t="s">
        <v>909</v>
      </c>
      <c r="M20" s="270" t="s">
        <v>936</v>
      </c>
      <c r="N20" s="270" t="s">
        <v>938</v>
      </c>
    </row>
    <row r="21" spans="1:14" x14ac:dyDescent="0.25">
      <c r="A21" s="245">
        <f>IF('Bid Tab (F&amp;B Ops and CatMan) 10'!AO14=Reference!$A$8,'Bid Tab (F&amp;B Ops and CatMan) 10'!AJ14,IF('Bid Tab (F&amp;B Ops and CatMan) 10'!AU14=Reference!$A$8,'Bid Tab (F&amp;B Ops and CatMan) 10'!AP14,IF('Bid Tab (F&amp;B Ops and CatMan) 10'!BA14=Reference!$A$8,'Bid Tab (F&amp;B Ops and CatMan) 10'!AV14,IF('Bid Tab (F&amp;B Ops and CatMan) 10'!BG14=Reference!$A$8,'Bid Tab (F&amp;B Ops and CatMan) 10'!BB14,IF('Bid Tab (F&amp;B Ops and CatMan) 10'!BM14=Reference!$A$8,'Bid Tab (F&amp;B Ops and CatMan) 10'!BH14,IF('Bid Tab (F&amp;B Ops and CatMan) 10'!BS14=Reference!$A$8,'Bid Tab (F&amp;B Ops and CatMan) 10'!BN14,IF('Bid Tab (F&amp;B Ops and CatMan) 10'!BY14=Reference!$A$8,'Bid Tab (F&amp;B Ops and CatMan) 10'!BT14,IF('Bid Tab (F&amp;B Ops and CatMan) 10'!CE14=Reference!$A$8,'Bid Tab (F&amp;B Ops and CatMan) 10'!BZ14,IF('Bid Tab (F&amp;B Ops and CatMan) 10'!CK14=Reference!$A$8,'Bid Tab (F&amp;B Ops and CatMan) 10'!CF14,IF('Bid Tab (F&amp;B Ops and CatMan) 10'!CQ14=Reference!$A$8,'Bid Tab (F&amp;B Ops and CatMan) 10'!CL14,0))))))))))</f>
        <v>0</v>
      </c>
      <c r="G21" s="270" t="s">
        <v>878</v>
      </c>
      <c r="H21" s="269" t="s">
        <v>862</v>
      </c>
      <c r="I21" s="270" t="s">
        <v>870</v>
      </c>
      <c r="J21" s="270" t="s">
        <v>869</v>
      </c>
      <c r="K21" s="270" t="s">
        <v>909</v>
      </c>
      <c r="M21" s="270" t="s">
        <v>909</v>
      </c>
      <c r="N21" s="270" t="s">
        <v>939</v>
      </c>
    </row>
    <row r="22" spans="1:14" x14ac:dyDescent="0.25">
      <c r="A22" s="245">
        <f>IF('Bid Tab (F&amp;B Ops and CatMan) 10'!AO15=Reference!$A$8,'Bid Tab (F&amp;B Ops and CatMan) 10'!AJ15,IF('Bid Tab (F&amp;B Ops and CatMan) 10'!AU15=Reference!$A$8,'Bid Tab (F&amp;B Ops and CatMan) 10'!AP15,IF('Bid Tab (F&amp;B Ops and CatMan) 10'!BA15=Reference!$A$8,'Bid Tab (F&amp;B Ops and CatMan) 10'!AV15,IF('Bid Tab (F&amp;B Ops and CatMan) 10'!BG15=Reference!$A$8,'Bid Tab (F&amp;B Ops and CatMan) 10'!BB15,IF('Bid Tab (F&amp;B Ops and CatMan) 10'!BM15=Reference!$A$8,'Bid Tab (F&amp;B Ops and CatMan) 10'!BH15,IF('Bid Tab (F&amp;B Ops and CatMan) 10'!BS15=Reference!$A$8,'Bid Tab (F&amp;B Ops and CatMan) 10'!BN15,IF('Bid Tab (F&amp;B Ops and CatMan) 10'!BY15=Reference!$A$8,'Bid Tab (F&amp;B Ops and CatMan) 10'!BT15,IF('Bid Tab (F&amp;B Ops and CatMan) 10'!CE15=Reference!$A$8,'Bid Tab (F&amp;B Ops and CatMan) 10'!BZ15,IF('Bid Tab (F&amp;B Ops and CatMan) 10'!CK15=Reference!$A$8,'Bid Tab (F&amp;B Ops and CatMan) 10'!CF15,IF('Bid Tab (F&amp;B Ops and CatMan) 10'!CQ15=Reference!$A$8,'Bid Tab (F&amp;B Ops and CatMan) 10'!CL15,0))))))))))</f>
        <v>0</v>
      </c>
      <c r="G22" s="270" t="s">
        <v>875</v>
      </c>
      <c r="H22" s="270" t="s">
        <v>870</v>
      </c>
      <c r="I22" s="271" t="s">
        <v>771</v>
      </c>
      <c r="J22" s="270" t="s">
        <v>869</v>
      </c>
      <c r="K22" s="270" t="s">
        <v>909</v>
      </c>
      <c r="M22" s="270" t="s">
        <v>904</v>
      </c>
      <c r="N22" s="270" t="s">
        <v>931</v>
      </c>
    </row>
    <row r="23" spans="1:14" x14ac:dyDescent="0.25">
      <c r="A23" s="245">
        <f>IF('Bid Tab (F&amp;B Ops and CatMan) 10'!AO16=Reference!$A$8,'Bid Tab (F&amp;B Ops and CatMan) 10'!AJ16,IF('Bid Tab (F&amp;B Ops and CatMan) 10'!AU16=Reference!$A$8,'Bid Tab (F&amp;B Ops and CatMan) 10'!AP16,IF('Bid Tab (F&amp;B Ops and CatMan) 10'!BA16=Reference!$A$8,'Bid Tab (F&amp;B Ops and CatMan) 10'!AV16,IF('Bid Tab (F&amp;B Ops and CatMan) 10'!BG16=Reference!$A$8,'Bid Tab (F&amp;B Ops and CatMan) 10'!BB16,IF('Bid Tab (F&amp;B Ops and CatMan) 10'!BM16=Reference!$A$8,'Bid Tab (F&amp;B Ops and CatMan) 10'!BH16,IF('Bid Tab (F&amp;B Ops and CatMan) 10'!BS16=Reference!$A$8,'Bid Tab (F&amp;B Ops and CatMan) 10'!BN16,IF('Bid Tab (F&amp;B Ops and CatMan) 10'!BY16=Reference!$A$8,'Bid Tab (F&amp;B Ops and CatMan) 10'!BT16,IF('Bid Tab (F&amp;B Ops and CatMan) 10'!CE16=Reference!$A$8,'Bid Tab (F&amp;B Ops and CatMan) 10'!BZ16,IF('Bid Tab (F&amp;B Ops and CatMan) 10'!CK16=Reference!$A$8,'Bid Tab (F&amp;B Ops and CatMan) 10'!CF16,IF('Bid Tab (F&amp;B Ops and CatMan) 10'!CQ16=Reference!$A$8,'Bid Tab (F&amp;B Ops and CatMan) 10'!CL16,0))))))))))</f>
        <v>0</v>
      </c>
      <c r="G23" s="270" t="s">
        <v>876</v>
      </c>
      <c r="H23" s="269" t="s">
        <v>863</v>
      </c>
      <c r="I23" s="270" t="s">
        <v>874</v>
      </c>
      <c r="J23" s="270" t="s">
        <v>869</v>
      </c>
      <c r="K23" s="270" t="s">
        <v>909</v>
      </c>
    </row>
    <row r="24" spans="1:14" x14ac:dyDescent="0.25">
      <c r="A24" s="245">
        <f>IF('Bid Tab (F&amp;B Ops and CatMan) 10'!AO17=Reference!$A$8,'Bid Tab (F&amp;B Ops and CatMan) 10'!AJ17,IF('Bid Tab (F&amp;B Ops and CatMan) 10'!AU17=Reference!$A$8,'Bid Tab (F&amp;B Ops and CatMan) 10'!AP17,IF('Bid Tab (F&amp;B Ops and CatMan) 10'!BA17=Reference!$A$8,'Bid Tab (F&amp;B Ops and CatMan) 10'!AV17,IF('Bid Tab (F&amp;B Ops and CatMan) 10'!BG17=Reference!$A$8,'Bid Tab (F&amp;B Ops and CatMan) 10'!BB17,IF('Bid Tab (F&amp;B Ops and CatMan) 10'!BM17=Reference!$A$8,'Bid Tab (F&amp;B Ops and CatMan) 10'!BH17,IF('Bid Tab (F&amp;B Ops and CatMan) 10'!BS17=Reference!$A$8,'Bid Tab (F&amp;B Ops and CatMan) 10'!BN17,IF('Bid Tab (F&amp;B Ops and CatMan) 10'!BY17=Reference!$A$8,'Bid Tab (F&amp;B Ops and CatMan) 10'!BT17,IF('Bid Tab (F&amp;B Ops and CatMan) 10'!CE17=Reference!$A$8,'Bid Tab (F&amp;B Ops and CatMan) 10'!BZ17,IF('Bid Tab (F&amp;B Ops and CatMan) 10'!CK17=Reference!$A$8,'Bid Tab (F&amp;B Ops and CatMan) 10'!CF17,IF('Bid Tab (F&amp;B Ops and CatMan) 10'!CQ17=Reference!$A$8,'Bid Tab (F&amp;B Ops and CatMan) 10'!CL17,0))))))))))</f>
        <v>0</v>
      </c>
      <c r="G24" s="270" t="s">
        <v>877</v>
      </c>
      <c r="H24" s="269" t="s">
        <v>863</v>
      </c>
      <c r="I24" s="270" t="s">
        <v>874</v>
      </c>
      <c r="J24" s="270" t="s">
        <v>869</v>
      </c>
      <c r="K24" s="270" t="s">
        <v>909</v>
      </c>
    </row>
    <row r="25" spans="1:14" x14ac:dyDescent="0.25">
      <c r="A25" s="245">
        <f>IF('Bid Tab (F&amp;B Ops and CatMan) 10'!AO18=Reference!$A$8,'Bid Tab (F&amp;B Ops and CatMan) 10'!AJ18,IF('Bid Tab (F&amp;B Ops and CatMan) 10'!AU18=Reference!$A$8,'Bid Tab (F&amp;B Ops and CatMan) 10'!AP18,IF('Bid Tab (F&amp;B Ops and CatMan) 10'!BA18=Reference!$A$8,'Bid Tab (F&amp;B Ops and CatMan) 10'!AV18,IF('Bid Tab (F&amp;B Ops and CatMan) 10'!BG18=Reference!$A$8,'Bid Tab (F&amp;B Ops and CatMan) 10'!BB18,IF('Bid Tab (F&amp;B Ops and CatMan) 10'!BM18=Reference!$A$8,'Bid Tab (F&amp;B Ops and CatMan) 10'!BH18,IF('Bid Tab (F&amp;B Ops and CatMan) 10'!BS18=Reference!$A$8,'Bid Tab (F&amp;B Ops and CatMan) 10'!BN18,IF('Bid Tab (F&amp;B Ops and CatMan) 10'!BY18=Reference!$A$8,'Bid Tab (F&amp;B Ops and CatMan) 10'!BT18,IF('Bid Tab (F&amp;B Ops and CatMan) 10'!CE18=Reference!$A$8,'Bid Tab (F&amp;B Ops and CatMan) 10'!BZ18,IF('Bid Tab (F&amp;B Ops and CatMan) 10'!CK18=Reference!$A$8,'Bid Tab (F&amp;B Ops and CatMan) 10'!CF18,IF('Bid Tab (F&amp;B Ops and CatMan) 10'!CQ18=Reference!$A$8,'Bid Tab (F&amp;B Ops and CatMan) 10'!CL18,0))))))))))</f>
        <v>0</v>
      </c>
      <c r="G25" s="270" t="s">
        <v>879</v>
      </c>
      <c r="H25" s="270" t="s">
        <v>882</v>
      </c>
      <c r="I25" s="270" t="s">
        <v>880</v>
      </c>
      <c r="J25" s="270" t="s">
        <v>869</v>
      </c>
      <c r="K25" s="270" t="s">
        <v>909</v>
      </c>
    </row>
    <row r="26" spans="1:14" x14ac:dyDescent="0.25">
      <c r="A26" s="245">
        <f>IF('Bid Tab (F&amp;B Ops and CatMan) 10'!AO19=Reference!$A$8,'Bid Tab (F&amp;B Ops and CatMan) 10'!AJ19,IF('Bid Tab (F&amp;B Ops and CatMan) 10'!AU19=Reference!$A$8,'Bid Tab (F&amp;B Ops and CatMan) 10'!AP19,IF('Bid Tab (F&amp;B Ops and CatMan) 10'!BA19=Reference!$A$8,'Bid Tab (F&amp;B Ops and CatMan) 10'!AV19,IF('Bid Tab (F&amp;B Ops and CatMan) 10'!BG19=Reference!$A$8,'Bid Tab (F&amp;B Ops and CatMan) 10'!BB19,IF('Bid Tab (F&amp;B Ops and CatMan) 10'!BM19=Reference!$A$8,'Bid Tab (F&amp;B Ops and CatMan) 10'!BH19,IF('Bid Tab (F&amp;B Ops and CatMan) 10'!BS19=Reference!$A$8,'Bid Tab (F&amp;B Ops and CatMan) 10'!BN19,IF('Bid Tab (F&amp;B Ops and CatMan) 10'!BY19=Reference!$A$8,'Bid Tab (F&amp;B Ops and CatMan) 10'!BT19,IF('Bid Tab (F&amp;B Ops and CatMan) 10'!CE19=Reference!$A$8,'Bid Tab (F&amp;B Ops and CatMan) 10'!BZ19,IF('Bid Tab (F&amp;B Ops and CatMan) 10'!CK19=Reference!$A$8,'Bid Tab (F&amp;B Ops and CatMan) 10'!CF19,IF('Bid Tab (F&amp;B Ops and CatMan) 10'!CQ19=Reference!$A$8,'Bid Tab (F&amp;B Ops and CatMan) 10'!CL19,0))))))))))</f>
        <v>0</v>
      </c>
      <c r="G26" s="270" t="s">
        <v>883</v>
      </c>
      <c r="H26" s="270" t="s">
        <v>880</v>
      </c>
      <c r="I26" s="271" t="s">
        <v>771</v>
      </c>
      <c r="J26" s="270" t="s">
        <v>869</v>
      </c>
      <c r="K26" s="270" t="s">
        <v>909</v>
      </c>
    </row>
    <row r="27" spans="1:14" x14ac:dyDescent="0.25">
      <c r="A27" s="245">
        <f>IF('Bid Tab (F&amp;B Ops and CatMan) 10'!AO20=Reference!$A$8,'Bid Tab (F&amp;B Ops and CatMan) 10'!AJ20,IF('Bid Tab (F&amp;B Ops and CatMan) 10'!AU20=Reference!$A$8,'Bid Tab (F&amp;B Ops and CatMan) 10'!AP20,IF('Bid Tab (F&amp;B Ops and CatMan) 10'!BA20=Reference!$A$8,'Bid Tab (F&amp;B Ops and CatMan) 10'!AV20,IF('Bid Tab (F&amp;B Ops and CatMan) 10'!BG20=Reference!$A$8,'Bid Tab (F&amp;B Ops and CatMan) 10'!BB20,IF('Bid Tab (F&amp;B Ops and CatMan) 10'!BM20=Reference!$A$8,'Bid Tab (F&amp;B Ops and CatMan) 10'!BH20,IF('Bid Tab (F&amp;B Ops and CatMan) 10'!BS20=Reference!$A$8,'Bid Tab (F&amp;B Ops and CatMan) 10'!BN20,IF('Bid Tab (F&amp;B Ops and CatMan) 10'!BY20=Reference!$A$8,'Bid Tab (F&amp;B Ops and CatMan) 10'!BT20,IF('Bid Tab (F&amp;B Ops and CatMan) 10'!CE20=Reference!$A$8,'Bid Tab (F&amp;B Ops and CatMan) 10'!BZ20,IF('Bid Tab (F&amp;B Ops and CatMan) 10'!CK20=Reference!$A$8,'Bid Tab (F&amp;B Ops and CatMan) 10'!CF20,IF('Bid Tab (F&amp;B Ops and CatMan) 10'!CQ20=Reference!$A$8,'Bid Tab (F&amp;B Ops and CatMan) 10'!CL20,0))))))))))</f>
        <v>0</v>
      </c>
      <c r="G27" s="270" t="s">
        <v>880</v>
      </c>
      <c r="H27" s="272" t="s">
        <v>771</v>
      </c>
      <c r="I27" s="271" t="s">
        <v>771</v>
      </c>
      <c r="J27" s="270" t="s">
        <v>869</v>
      </c>
      <c r="K27" s="270" t="s">
        <v>909</v>
      </c>
    </row>
    <row r="28" spans="1:14" x14ac:dyDescent="0.25">
      <c r="A28" s="245">
        <f>IF('Bid Tab (F&amp;B Ops and CatMan) 10'!AO21=Reference!$A$8,'Bid Tab (F&amp;B Ops and CatMan) 10'!AJ21,IF('Bid Tab (F&amp;B Ops and CatMan) 10'!AU21=Reference!$A$8,'Bid Tab (F&amp;B Ops and CatMan) 10'!AP21,IF('Bid Tab (F&amp;B Ops and CatMan) 10'!BA21=Reference!$A$8,'Bid Tab (F&amp;B Ops and CatMan) 10'!AV21,IF('Bid Tab (F&amp;B Ops and CatMan) 10'!BG21=Reference!$A$8,'Bid Tab (F&amp;B Ops and CatMan) 10'!BB21,IF('Bid Tab (F&amp;B Ops and CatMan) 10'!BM21=Reference!$A$8,'Bid Tab (F&amp;B Ops and CatMan) 10'!BH21,IF('Bid Tab (F&amp;B Ops and CatMan) 10'!BS21=Reference!$A$8,'Bid Tab (F&amp;B Ops and CatMan) 10'!BN21,IF('Bid Tab (F&amp;B Ops and CatMan) 10'!BY21=Reference!$A$8,'Bid Tab (F&amp;B Ops and CatMan) 10'!BT21,IF('Bid Tab (F&amp;B Ops and CatMan) 10'!CE21=Reference!$A$8,'Bid Tab (F&amp;B Ops and CatMan) 10'!BZ21,IF('Bid Tab (F&amp;B Ops and CatMan) 10'!CK21=Reference!$A$8,'Bid Tab (F&amp;B Ops and CatMan) 10'!CF21,IF('Bid Tab (F&amp;B Ops and CatMan) 10'!CQ21=Reference!$A$8,'Bid Tab (F&amp;B Ops and CatMan) 10'!CL21,0))))))))))</f>
        <v>0</v>
      </c>
      <c r="G28" s="270" t="s">
        <v>881</v>
      </c>
      <c r="H28" s="270" t="s">
        <v>882</v>
      </c>
      <c r="I28" s="270" t="s">
        <v>880</v>
      </c>
      <c r="J28" s="270" t="s">
        <v>869</v>
      </c>
      <c r="K28" s="270" t="s">
        <v>909</v>
      </c>
    </row>
    <row r="29" spans="1:14" x14ac:dyDescent="0.25">
      <c r="A29" s="245">
        <f>IF('Bid Tab (F&amp;B Ops and CatMan) 10'!AO22=Reference!$A$8,'Bid Tab (F&amp;B Ops and CatMan) 10'!AJ22,IF('Bid Tab (F&amp;B Ops and CatMan) 10'!AU22=Reference!$A$8,'Bid Tab (F&amp;B Ops and CatMan) 10'!AP22,IF('Bid Tab (F&amp;B Ops and CatMan) 10'!BA22=Reference!$A$8,'Bid Tab (F&amp;B Ops and CatMan) 10'!AV22,IF('Bid Tab (F&amp;B Ops and CatMan) 10'!BG22=Reference!$A$8,'Bid Tab (F&amp;B Ops and CatMan) 10'!BB22,IF('Bid Tab (F&amp;B Ops and CatMan) 10'!BM22=Reference!$A$8,'Bid Tab (F&amp;B Ops and CatMan) 10'!BH22,IF('Bid Tab (F&amp;B Ops and CatMan) 10'!BS22=Reference!$A$8,'Bid Tab (F&amp;B Ops and CatMan) 10'!BN22,IF('Bid Tab (F&amp;B Ops and CatMan) 10'!BY22=Reference!$A$8,'Bid Tab (F&amp;B Ops and CatMan) 10'!BT22,IF('Bid Tab (F&amp;B Ops and CatMan) 10'!CE22=Reference!$A$8,'Bid Tab (F&amp;B Ops and CatMan) 10'!BZ22,IF('Bid Tab (F&amp;B Ops and CatMan) 10'!CK22=Reference!$A$8,'Bid Tab (F&amp;B Ops and CatMan) 10'!CF22,IF('Bid Tab (F&amp;B Ops and CatMan) 10'!CQ22=Reference!$A$8,'Bid Tab (F&amp;B Ops and CatMan) 10'!CL22,0))))))))))</f>
        <v>0</v>
      </c>
      <c r="G29" s="270" t="s">
        <v>885</v>
      </c>
      <c r="H29" s="270" t="s">
        <v>880</v>
      </c>
      <c r="I29" s="271" t="s">
        <v>771</v>
      </c>
      <c r="J29" s="270" t="s">
        <v>869</v>
      </c>
      <c r="K29" s="270" t="s">
        <v>909</v>
      </c>
    </row>
    <row r="30" spans="1:14" x14ac:dyDescent="0.25">
      <c r="A30" s="245">
        <f>IF('Bid Tab (F&amp;B Ops and CatMan) 10'!AO23=Reference!$A$8,'Bid Tab (F&amp;B Ops and CatMan) 10'!AJ23,IF('Bid Tab (F&amp;B Ops and CatMan) 10'!AU23=Reference!$A$8,'Bid Tab (F&amp;B Ops and CatMan) 10'!AP23,IF('Bid Tab (F&amp;B Ops and CatMan) 10'!BA23=Reference!$A$8,'Bid Tab (F&amp;B Ops and CatMan) 10'!AV23,IF('Bid Tab (F&amp;B Ops and CatMan) 10'!BG23=Reference!$A$8,'Bid Tab (F&amp;B Ops and CatMan) 10'!BB23,IF('Bid Tab (F&amp;B Ops and CatMan) 10'!BM23=Reference!$A$8,'Bid Tab (F&amp;B Ops and CatMan) 10'!BH23,IF('Bid Tab (F&amp;B Ops and CatMan) 10'!BS23=Reference!$A$8,'Bid Tab (F&amp;B Ops and CatMan) 10'!BN23,IF('Bid Tab (F&amp;B Ops and CatMan) 10'!BY23=Reference!$A$8,'Bid Tab (F&amp;B Ops and CatMan) 10'!BT23,IF('Bid Tab (F&amp;B Ops and CatMan) 10'!CE23=Reference!$A$8,'Bid Tab (F&amp;B Ops and CatMan) 10'!BZ23,IF('Bid Tab (F&amp;B Ops and CatMan) 10'!CK23=Reference!$A$8,'Bid Tab (F&amp;B Ops and CatMan) 10'!CF23,IF('Bid Tab (F&amp;B Ops and CatMan) 10'!CQ23=Reference!$A$8,'Bid Tab (F&amp;B Ops and CatMan) 10'!CL23,0))))))))))</f>
        <v>0</v>
      </c>
      <c r="G30" s="270" t="s">
        <v>884</v>
      </c>
      <c r="H30" s="270" t="s">
        <v>883</v>
      </c>
      <c r="I30" s="270" t="s">
        <v>880</v>
      </c>
      <c r="J30" s="270" t="s">
        <v>869</v>
      </c>
      <c r="K30" s="270" t="s">
        <v>909</v>
      </c>
    </row>
    <row r="31" spans="1:14" x14ac:dyDescent="0.25">
      <c r="A31" s="245">
        <f>IF('Bid Tab (F&amp;B Ops and CatMan) 10'!AO24=Reference!$A$8,'Bid Tab (F&amp;B Ops and CatMan) 10'!AJ24,IF('Bid Tab (F&amp;B Ops and CatMan) 10'!AU24=Reference!$A$8,'Bid Tab (F&amp;B Ops and CatMan) 10'!AP24,IF('Bid Tab (F&amp;B Ops and CatMan) 10'!BA24=Reference!$A$8,'Bid Tab (F&amp;B Ops and CatMan) 10'!AV24,IF('Bid Tab (F&amp;B Ops and CatMan) 10'!BG24=Reference!$A$8,'Bid Tab (F&amp;B Ops and CatMan) 10'!BB24,IF('Bid Tab (F&amp;B Ops and CatMan) 10'!BM24=Reference!$A$8,'Bid Tab (F&amp;B Ops and CatMan) 10'!BH24,IF('Bid Tab (F&amp;B Ops and CatMan) 10'!BS24=Reference!$A$8,'Bid Tab (F&amp;B Ops and CatMan) 10'!BN24,IF('Bid Tab (F&amp;B Ops and CatMan) 10'!BY24=Reference!$A$8,'Bid Tab (F&amp;B Ops and CatMan) 10'!BT24,IF('Bid Tab (F&amp;B Ops and CatMan) 10'!CE24=Reference!$A$8,'Bid Tab (F&amp;B Ops and CatMan) 10'!BZ24,IF('Bid Tab (F&amp;B Ops and CatMan) 10'!CK24=Reference!$A$8,'Bid Tab (F&amp;B Ops and CatMan) 10'!CF24,IF('Bid Tab (F&amp;B Ops and CatMan) 10'!CQ24=Reference!$A$8,'Bid Tab (F&amp;B Ops and CatMan) 10'!CL24,0))))))))))</f>
        <v>0</v>
      </c>
      <c r="G31" s="270" t="s">
        <v>886</v>
      </c>
      <c r="H31" s="270" t="s">
        <v>885</v>
      </c>
      <c r="I31" s="270" t="s">
        <v>880</v>
      </c>
      <c r="J31" s="270" t="s">
        <v>869</v>
      </c>
      <c r="K31" s="270" t="s">
        <v>909</v>
      </c>
    </row>
    <row r="32" spans="1:14" x14ac:dyDescent="0.25">
      <c r="A32" s="245">
        <f>IF('Bid Tab (F&amp;B Ops and CatMan) 10'!AO25=Reference!$A$8,'Bid Tab (F&amp;B Ops and CatMan) 10'!AJ25,IF('Bid Tab (F&amp;B Ops and CatMan) 10'!AU25=Reference!$A$8,'Bid Tab (F&amp;B Ops and CatMan) 10'!AP25,IF('Bid Tab (F&amp;B Ops and CatMan) 10'!BA25=Reference!$A$8,'Bid Tab (F&amp;B Ops and CatMan) 10'!AV25,IF('Bid Tab (F&amp;B Ops and CatMan) 10'!BG25=Reference!$A$8,'Bid Tab (F&amp;B Ops and CatMan) 10'!BB25,IF('Bid Tab (F&amp;B Ops and CatMan) 10'!BM25=Reference!$A$8,'Bid Tab (F&amp;B Ops and CatMan) 10'!BH25,IF('Bid Tab (F&amp;B Ops and CatMan) 10'!BS25=Reference!$A$8,'Bid Tab (F&amp;B Ops and CatMan) 10'!BN25,IF('Bid Tab (F&amp;B Ops and CatMan) 10'!BY25=Reference!$A$8,'Bid Tab (F&amp;B Ops and CatMan) 10'!BT25,IF('Bid Tab (F&amp;B Ops and CatMan) 10'!CE25=Reference!$A$8,'Bid Tab (F&amp;B Ops and CatMan) 10'!BZ25,IF('Bid Tab (F&amp;B Ops and CatMan) 10'!CK25=Reference!$A$8,'Bid Tab (F&amp;B Ops and CatMan) 10'!CF25,IF('Bid Tab (F&amp;B Ops and CatMan) 10'!CQ25=Reference!$A$8,'Bid Tab (F&amp;B Ops and CatMan) 10'!CL25,0))))))))))</f>
        <v>0</v>
      </c>
      <c r="G32" s="270" t="s">
        <v>887</v>
      </c>
      <c r="H32" s="270" t="s">
        <v>885</v>
      </c>
      <c r="I32" s="270" t="s">
        <v>880</v>
      </c>
      <c r="J32" s="270" t="s">
        <v>869</v>
      </c>
      <c r="K32" s="270" t="s">
        <v>909</v>
      </c>
    </row>
    <row r="33" spans="1:11" x14ac:dyDescent="0.25">
      <c r="A33" s="245">
        <f>IF('Bid Tab (F&amp;B Ops and CatMan) 10'!AO26=Reference!$A$8,'Bid Tab (F&amp;B Ops and CatMan) 10'!AJ26,IF('Bid Tab (F&amp;B Ops and CatMan) 10'!AU26=Reference!$A$8,'Bid Tab (F&amp;B Ops and CatMan) 10'!AP26,IF('Bid Tab (F&amp;B Ops and CatMan) 10'!BA26=Reference!$A$8,'Bid Tab (F&amp;B Ops and CatMan) 10'!AV26,IF('Bid Tab (F&amp;B Ops and CatMan) 10'!BG26=Reference!$A$8,'Bid Tab (F&amp;B Ops and CatMan) 10'!BB26,IF('Bid Tab (F&amp;B Ops and CatMan) 10'!BM26=Reference!$A$8,'Bid Tab (F&amp;B Ops and CatMan) 10'!BH26,IF('Bid Tab (F&amp;B Ops and CatMan) 10'!BS26=Reference!$A$8,'Bid Tab (F&amp;B Ops and CatMan) 10'!BN26,IF('Bid Tab (F&amp;B Ops and CatMan) 10'!BY26=Reference!$A$8,'Bid Tab (F&amp;B Ops and CatMan) 10'!BT26,IF('Bid Tab (F&amp;B Ops and CatMan) 10'!CE26=Reference!$A$8,'Bid Tab (F&amp;B Ops and CatMan) 10'!BZ26,IF('Bid Tab (F&amp;B Ops and CatMan) 10'!CK26=Reference!$A$8,'Bid Tab (F&amp;B Ops and CatMan) 10'!CF26,IF('Bid Tab (F&amp;B Ops and CatMan) 10'!CQ26=Reference!$A$8,'Bid Tab (F&amp;B Ops and CatMan) 10'!CL26,0))))))))))</f>
        <v>0</v>
      </c>
      <c r="G33" s="270" t="s">
        <v>890</v>
      </c>
      <c r="H33" s="270" t="s">
        <v>889</v>
      </c>
      <c r="I33" s="270" t="s">
        <v>880</v>
      </c>
      <c r="J33" s="270" t="s">
        <v>869</v>
      </c>
      <c r="K33" s="270" t="s">
        <v>909</v>
      </c>
    </row>
    <row r="34" spans="1:11" x14ac:dyDescent="0.25">
      <c r="A34" s="245">
        <f>IF('Bid Tab (F&amp;B Ops and CatMan) 10'!AO27=Reference!$A$8,'Bid Tab (F&amp;B Ops and CatMan) 10'!AJ27,IF('Bid Tab (F&amp;B Ops and CatMan) 10'!AU27=Reference!$A$8,'Bid Tab (F&amp;B Ops and CatMan) 10'!AP27,IF('Bid Tab (F&amp;B Ops and CatMan) 10'!BA27=Reference!$A$8,'Bid Tab (F&amp;B Ops and CatMan) 10'!AV27,IF('Bid Tab (F&amp;B Ops and CatMan) 10'!BG27=Reference!$A$8,'Bid Tab (F&amp;B Ops and CatMan) 10'!BB27,IF('Bid Tab (F&amp;B Ops and CatMan) 10'!BM27=Reference!$A$8,'Bid Tab (F&amp;B Ops and CatMan) 10'!BH27,IF('Bid Tab (F&amp;B Ops and CatMan) 10'!BS27=Reference!$A$8,'Bid Tab (F&amp;B Ops and CatMan) 10'!BN27,IF('Bid Tab (F&amp;B Ops and CatMan) 10'!BY27=Reference!$A$8,'Bid Tab (F&amp;B Ops and CatMan) 10'!BT27,IF('Bid Tab (F&amp;B Ops and CatMan) 10'!CE27=Reference!$A$8,'Bid Tab (F&amp;B Ops and CatMan) 10'!BZ27,IF('Bid Tab (F&amp;B Ops and CatMan) 10'!CK27=Reference!$A$8,'Bid Tab (F&amp;B Ops and CatMan) 10'!CF27,IF('Bid Tab (F&amp;B Ops and CatMan) 10'!CQ27=Reference!$A$8,'Bid Tab (F&amp;B Ops and CatMan) 10'!CL27,0))))))))))</f>
        <v>0</v>
      </c>
      <c r="G34" s="270" t="s">
        <v>888</v>
      </c>
      <c r="H34" s="270" t="s">
        <v>885</v>
      </c>
      <c r="I34" s="270" t="s">
        <v>880</v>
      </c>
      <c r="J34" s="270" t="s">
        <v>869</v>
      </c>
      <c r="K34" s="270" t="s">
        <v>909</v>
      </c>
    </row>
    <row r="35" spans="1:11" x14ac:dyDescent="0.25">
      <c r="A35" s="245">
        <f>IF('Bid Tab (F&amp;B Ops and CatMan) 10'!AO28=Reference!$A$8,'Bid Tab (F&amp;B Ops and CatMan) 10'!AJ28,IF('Bid Tab (F&amp;B Ops and CatMan) 10'!AU28=Reference!$A$8,'Bid Tab (F&amp;B Ops and CatMan) 10'!AP28,IF('Bid Tab (F&amp;B Ops and CatMan) 10'!BA28=Reference!$A$8,'Bid Tab (F&amp;B Ops and CatMan) 10'!AV28,IF('Bid Tab (F&amp;B Ops and CatMan) 10'!BG28=Reference!$A$8,'Bid Tab (F&amp;B Ops and CatMan) 10'!BB28,IF('Bid Tab (F&amp;B Ops and CatMan) 10'!BM28=Reference!$A$8,'Bid Tab (F&amp;B Ops and CatMan) 10'!BH28,IF('Bid Tab (F&amp;B Ops and CatMan) 10'!BS28=Reference!$A$8,'Bid Tab (F&amp;B Ops and CatMan) 10'!BN28,IF('Bid Tab (F&amp;B Ops and CatMan) 10'!BY28=Reference!$A$8,'Bid Tab (F&amp;B Ops and CatMan) 10'!BT28,IF('Bid Tab (F&amp;B Ops and CatMan) 10'!CE28=Reference!$A$8,'Bid Tab (F&amp;B Ops and CatMan) 10'!BZ28,IF('Bid Tab (F&amp;B Ops and CatMan) 10'!CK28=Reference!$A$8,'Bid Tab (F&amp;B Ops and CatMan) 10'!CF28,IF('Bid Tab (F&amp;B Ops and CatMan) 10'!CQ28=Reference!$A$8,'Bid Tab (F&amp;B Ops and CatMan) 10'!CL28,0))))))))))</f>
        <v>0</v>
      </c>
      <c r="G35" s="270" t="s">
        <v>882</v>
      </c>
      <c r="H35" s="270" t="s">
        <v>880</v>
      </c>
      <c r="I35" s="271" t="s">
        <v>771</v>
      </c>
      <c r="J35" s="270" t="s">
        <v>869</v>
      </c>
      <c r="K35" s="270" t="s">
        <v>909</v>
      </c>
    </row>
    <row r="36" spans="1:11" x14ac:dyDescent="0.25">
      <c r="A36" s="245">
        <f>IF('Bid Tab (F&amp;B Ops and CatMan) 10'!AO29=Reference!$A$8,'Bid Tab (F&amp;B Ops and CatMan) 10'!AJ29,IF('Bid Tab (F&amp;B Ops and CatMan) 10'!AU29=Reference!$A$8,'Bid Tab (F&amp;B Ops and CatMan) 10'!AP29,IF('Bid Tab (F&amp;B Ops and CatMan) 10'!BA29=Reference!$A$8,'Bid Tab (F&amp;B Ops and CatMan) 10'!AV29,IF('Bid Tab (F&amp;B Ops and CatMan) 10'!BG29=Reference!$A$8,'Bid Tab (F&amp;B Ops and CatMan) 10'!BB29,IF('Bid Tab (F&amp;B Ops and CatMan) 10'!BM29=Reference!$A$8,'Bid Tab (F&amp;B Ops and CatMan) 10'!BH29,IF('Bid Tab (F&amp;B Ops and CatMan) 10'!BS29=Reference!$A$8,'Bid Tab (F&amp;B Ops and CatMan) 10'!BN29,IF('Bid Tab (F&amp;B Ops and CatMan) 10'!BY29=Reference!$A$8,'Bid Tab (F&amp;B Ops and CatMan) 10'!BT29,IF('Bid Tab (F&amp;B Ops and CatMan) 10'!CE29=Reference!$A$8,'Bid Tab (F&amp;B Ops and CatMan) 10'!BZ29,IF('Bid Tab (F&amp;B Ops and CatMan) 10'!CK29=Reference!$A$8,'Bid Tab (F&amp;B Ops and CatMan) 10'!CF29,IF('Bid Tab (F&amp;B Ops and CatMan) 10'!CQ29=Reference!$A$8,'Bid Tab (F&amp;B Ops and CatMan) 10'!CL29,0))))))))))</f>
        <v>0</v>
      </c>
      <c r="G36" s="270" t="s">
        <v>889</v>
      </c>
      <c r="H36" s="270" t="s">
        <v>880</v>
      </c>
      <c r="I36" s="271" t="s">
        <v>771</v>
      </c>
      <c r="J36" s="270" t="s">
        <v>869</v>
      </c>
      <c r="K36" s="270" t="s">
        <v>909</v>
      </c>
    </row>
    <row r="37" spans="1:11" x14ac:dyDescent="0.25">
      <c r="A37" s="245">
        <f>IF('Bid Tab (F&amp;B Ops and CatMan) 10'!AO30=Reference!$A$8,'Bid Tab (F&amp;B Ops and CatMan) 10'!AJ30,IF('Bid Tab (F&amp;B Ops and CatMan) 10'!AU30=Reference!$A$8,'Bid Tab (F&amp;B Ops and CatMan) 10'!AP30,IF('Bid Tab (F&amp;B Ops and CatMan) 10'!BA30=Reference!$A$8,'Bid Tab (F&amp;B Ops and CatMan) 10'!AV30,IF('Bid Tab (F&amp;B Ops and CatMan) 10'!BG30=Reference!$A$8,'Bid Tab (F&amp;B Ops and CatMan) 10'!BB30,IF('Bid Tab (F&amp;B Ops and CatMan) 10'!BM30=Reference!$A$8,'Bid Tab (F&amp;B Ops and CatMan) 10'!BH30,IF('Bid Tab (F&amp;B Ops and CatMan) 10'!BS30=Reference!$A$8,'Bid Tab (F&amp;B Ops and CatMan) 10'!BN30,IF('Bid Tab (F&amp;B Ops and CatMan) 10'!BY30=Reference!$A$8,'Bid Tab (F&amp;B Ops and CatMan) 10'!BT30,IF('Bid Tab (F&amp;B Ops and CatMan) 10'!CE30=Reference!$A$8,'Bid Tab (F&amp;B Ops and CatMan) 10'!BZ30,IF('Bid Tab (F&amp;B Ops and CatMan) 10'!CK30=Reference!$A$8,'Bid Tab (F&amp;B Ops and CatMan) 10'!CF30,IF('Bid Tab (F&amp;B Ops and CatMan) 10'!CQ30=Reference!$A$8,'Bid Tab (F&amp;B Ops and CatMan) 10'!CL30,0))))))))))</f>
        <v>0</v>
      </c>
      <c r="G37" s="270" t="s">
        <v>897</v>
      </c>
      <c r="H37" s="272" t="s">
        <v>771</v>
      </c>
      <c r="I37" s="272" t="s">
        <v>771</v>
      </c>
      <c r="J37" s="270" t="s">
        <v>936</v>
      </c>
      <c r="K37" s="270" t="s">
        <v>909</v>
      </c>
    </row>
    <row r="38" spans="1:11" x14ac:dyDescent="0.25">
      <c r="G38" s="270" t="s">
        <v>895</v>
      </c>
      <c r="H38" s="270" t="s">
        <v>892</v>
      </c>
      <c r="I38" s="272" t="s">
        <v>771</v>
      </c>
      <c r="J38" s="270" t="s">
        <v>936</v>
      </c>
      <c r="K38" s="270" t="s">
        <v>909</v>
      </c>
    </row>
    <row r="39" spans="1:11" x14ac:dyDescent="0.25">
      <c r="G39" s="270" t="s">
        <v>900</v>
      </c>
      <c r="H39" s="270" t="s">
        <v>896</v>
      </c>
      <c r="I39" s="272" t="s">
        <v>771</v>
      </c>
      <c r="J39" s="270" t="s">
        <v>936</v>
      </c>
      <c r="K39" s="270" t="s">
        <v>909</v>
      </c>
    </row>
    <row r="40" spans="1:11" x14ac:dyDescent="0.25">
      <c r="G40" s="270" t="s">
        <v>893</v>
      </c>
      <c r="H40" s="270" t="s">
        <v>892</v>
      </c>
      <c r="I40" s="272" t="s">
        <v>771</v>
      </c>
      <c r="J40" s="270" t="s">
        <v>936</v>
      </c>
      <c r="K40" s="270" t="s">
        <v>909</v>
      </c>
    </row>
    <row r="41" spans="1:11" x14ac:dyDescent="0.25">
      <c r="G41" s="270" t="s">
        <v>896</v>
      </c>
      <c r="H41" s="272" t="s">
        <v>771</v>
      </c>
      <c r="I41" s="272" t="s">
        <v>771</v>
      </c>
      <c r="J41" s="270" t="s">
        <v>936</v>
      </c>
      <c r="K41" s="270" t="s">
        <v>909</v>
      </c>
    </row>
    <row r="42" spans="1:11" x14ac:dyDescent="0.25">
      <c r="G42" s="270" t="s">
        <v>898</v>
      </c>
      <c r="H42" s="270" t="s">
        <v>896</v>
      </c>
      <c r="I42" s="272" t="s">
        <v>771</v>
      </c>
      <c r="J42" s="270" t="s">
        <v>936</v>
      </c>
      <c r="K42" s="270" t="s">
        <v>909</v>
      </c>
    </row>
    <row r="43" spans="1:11" x14ac:dyDescent="0.25">
      <c r="G43" s="270" t="s">
        <v>903</v>
      </c>
      <c r="H43" s="270" t="s">
        <v>897</v>
      </c>
      <c r="I43" s="272" t="s">
        <v>771</v>
      </c>
      <c r="J43" s="270" t="s">
        <v>936</v>
      </c>
      <c r="K43" s="270" t="s">
        <v>909</v>
      </c>
    </row>
    <row r="44" spans="1:11" x14ac:dyDescent="0.25">
      <c r="G44" s="270" t="s">
        <v>905</v>
      </c>
      <c r="H44" s="270" t="s">
        <v>897</v>
      </c>
      <c r="I44" s="272" t="s">
        <v>771</v>
      </c>
      <c r="J44" s="270" t="s">
        <v>936</v>
      </c>
      <c r="K44" s="270" t="s">
        <v>909</v>
      </c>
    </row>
    <row r="45" spans="1:11" x14ac:dyDescent="0.25">
      <c r="G45" s="270" t="s">
        <v>904</v>
      </c>
      <c r="H45" s="270" t="s">
        <v>897</v>
      </c>
      <c r="I45" s="272" t="s">
        <v>771</v>
      </c>
      <c r="J45" s="270" t="s">
        <v>936</v>
      </c>
      <c r="K45" s="270" t="s">
        <v>909</v>
      </c>
    </row>
    <row r="46" spans="1:11" x14ac:dyDescent="0.25">
      <c r="G46" s="270" t="s">
        <v>894</v>
      </c>
      <c r="H46" s="270" t="s">
        <v>892</v>
      </c>
      <c r="I46" s="272" t="s">
        <v>771</v>
      </c>
      <c r="J46" s="270" t="s">
        <v>936</v>
      </c>
      <c r="K46" s="270" t="s">
        <v>909</v>
      </c>
    </row>
    <row r="47" spans="1:11" x14ac:dyDescent="0.25">
      <c r="G47" s="270" t="s">
        <v>902</v>
      </c>
      <c r="H47" s="270" t="s">
        <v>897</v>
      </c>
      <c r="I47" s="272" t="s">
        <v>771</v>
      </c>
      <c r="J47" s="270" t="s">
        <v>936</v>
      </c>
      <c r="K47" s="270" t="s">
        <v>909</v>
      </c>
    </row>
    <row r="48" spans="1:11" x14ac:dyDescent="0.25">
      <c r="G48" s="270" t="s">
        <v>899</v>
      </c>
      <c r="H48" s="270" t="s">
        <v>896</v>
      </c>
      <c r="I48" s="272" t="s">
        <v>771</v>
      </c>
      <c r="J48" s="270" t="s">
        <v>936</v>
      </c>
      <c r="K48" s="270" t="s">
        <v>909</v>
      </c>
    </row>
    <row r="49" spans="7:11" x14ac:dyDescent="0.25">
      <c r="G49" s="270" t="s">
        <v>901</v>
      </c>
      <c r="H49" s="270" t="s">
        <v>896</v>
      </c>
      <c r="I49" s="272" t="s">
        <v>771</v>
      </c>
      <c r="J49" s="270" t="s">
        <v>936</v>
      </c>
      <c r="K49" s="270" t="s">
        <v>909</v>
      </c>
    </row>
    <row r="50" spans="7:11" x14ac:dyDescent="0.25">
      <c r="G50" s="270" t="s">
        <v>892</v>
      </c>
      <c r="H50" s="272" t="s">
        <v>771</v>
      </c>
      <c r="I50" s="272" t="s">
        <v>771</v>
      </c>
      <c r="J50" s="270" t="s">
        <v>936</v>
      </c>
      <c r="K50" s="270" t="s">
        <v>909</v>
      </c>
    </row>
    <row r="51" spans="7:11" x14ac:dyDescent="0.25">
      <c r="G51" s="270" t="s">
        <v>936</v>
      </c>
      <c r="H51" s="272" t="s">
        <v>771</v>
      </c>
      <c r="I51" s="272" t="s">
        <v>771</v>
      </c>
      <c r="J51" s="272" t="s">
        <v>771</v>
      </c>
      <c r="K51" s="270" t="s">
        <v>909</v>
      </c>
    </row>
    <row r="52" spans="7:11" x14ac:dyDescent="0.25">
      <c r="G52" s="270" t="s">
        <v>910</v>
      </c>
      <c r="H52" s="270" t="s">
        <v>895</v>
      </c>
      <c r="I52" s="270" t="s">
        <v>892</v>
      </c>
      <c r="J52" s="270" t="s">
        <v>936</v>
      </c>
      <c r="K52" s="270" t="s">
        <v>909</v>
      </c>
    </row>
    <row r="53" spans="7:11" x14ac:dyDescent="0.25">
      <c r="G53" s="270" t="s">
        <v>937</v>
      </c>
      <c r="H53" s="270" t="s">
        <v>897</v>
      </c>
      <c r="I53" s="272" t="s">
        <v>771</v>
      </c>
      <c r="J53" s="270" t="s">
        <v>936</v>
      </c>
      <c r="K53" s="270" t="s">
        <v>909</v>
      </c>
    </row>
    <row r="54" spans="7:11" x14ac:dyDescent="0.25">
      <c r="G54" s="270" t="s">
        <v>940</v>
      </c>
      <c r="H54" s="270" t="s">
        <v>882</v>
      </c>
      <c r="I54" s="270" t="s">
        <v>880</v>
      </c>
      <c r="J54" s="270" t="s">
        <v>869</v>
      </c>
      <c r="K54" s="270" t="s">
        <v>909</v>
      </c>
    </row>
    <row r="55" spans="7:11" x14ac:dyDescent="0.25">
      <c r="G55" s="270" t="s">
        <v>1001</v>
      </c>
      <c r="H55" s="270" t="s">
        <v>904</v>
      </c>
      <c r="I55" s="270" t="s">
        <v>897</v>
      </c>
      <c r="J55" s="270" t="s">
        <v>936</v>
      </c>
      <c r="K55" s="270" t="s">
        <v>909</v>
      </c>
    </row>
  </sheetData>
  <sortState ref="E2:E8">
    <sortCondition ref="E8"/>
  </sortState>
  <conditionalFormatting sqref="G1:G54 G56:G1048576">
    <cfRule type="duplicateValues" dxfId="2" priority="4"/>
  </conditionalFormatting>
  <conditionalFormatting sqref="G55">
    <cfRule type="duplicateValues" dxfId="1" priority="3"/>
  </conditionalFormatting>
  <conditionalFormatting sqref="H55">
    <cfRule type="duplicateValues" dxfId="0" priority="1"/>
  </conditionalFormatting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WorkbookXmlPart xmlns:i="http://www.w3.org/2001/XMLSchema-instance" xmlns="http://schemas.datacontract.org/2004/07/Microsoft.Dynamics.AX.Framework.OfficeAddin.XmlParts">
  <Connections/>
  <DataSources/>
  <Id>0d1b0db4-49cf-4403-9f58-e26ccc374321</Id>
  <MetadataPersistentCacheBinary i:nil="true"/>
  <MetadataVersion>4</MetadataVersion>
  <Version xmlns:d2p1="http://schemas.datacontract.org/2004/07/System">
    <d2p1:_Build>2000</d2p1:_Build>
    <d2p1:_Major>6</d2p1:_Major>
    <d2p1:_Minor>3</d2p1:_Minor>
    <d2p1:_Revision>326</d2p1:_Revision>
  </Version>
  <WorkbookOptions>
    <IsDesignLocked>false</IsDesignLocked>
    <RefreshAllDataOnOpen>false</RefreshAllDataOnOpen>
  </WorkbookOptions>
</WorkbookXmlPart>
</file>

<file path=customXml/item2.xml><?xml version="1.0" encoding="utf-8"?>
<Workbook xmlns="http://schemas.datacontract.org/2004/07/Microsoft.Dynamics.AX.Framework.OfficeAddin.Excel" xmlns:i="http://www.w3.org/2001/XMLSchema-instance" xmlns:z="http://schemas.microsoft.com/2003/10/Serialization/" z:Id="1" z:Type="Microsoft.Dynamics.AX.Framework.OfficeAddin.Excel.Workbook" z:Assembly="Microsoft.Dynamics.AX.Framework.OfficeAddin.Excel, Version=6.3.0.0, Culture=neutral, PublicKeyToken=31bf3856ad364e35">
  <CachedLookupTables xmlns:a="http://schemas.microsoft.com/2003/10/Serialization/Arrays" z:Id="2" z:Type="System.Collections.Generic.HashSet`1[[System.String, mscorlib, Version=4.0.0.0, Culture=neutral, PublicKeyToken=b77a5c561934e089]]" z:Assembly="System.Core, Version=4.0.0.0, Culture=neutral, PublicKeyToken=b77a5c561934e089">
    <Version xmlns="" z:Id="3" z:Type="System.Int32" z:Assembly="0">0</Version>
    <Comparer xmlns="" z:Id="4" z:Type="Microsoft.Dynamics.AX.Framework.OfficeAddin.Excel.CaseAndCultureInsensitiveStringEqualityComparer" z:Assembly="Microsoft.Dynamics.AX.Framework.OfficeAddin.Excel, Version=6.3.0.0, Culture=neutral, PublicKeyToken=31bf3856ad364e35"/>
    <Capacity xmlns="" z:Id="5" z:Type="System.Int32" z:Assembly="0">0</Capacity>
  </CachedLookupTables>
  <Connection z:Id="6" z:Type="Microsoft.Dynamics.AX.Framework.OfficeAddin.DynamicsAX.Connection" z:Assembly="Microsoft.Dynamics.AX.Framework.OfficeAddin.DynamicsAX, Version=6.3.0.0, Culture=neutral, PublicKeyToken=31bf3856ad364e35">
    <Id xmlns="http://schemas.datacontract.org/2004/07/Microsoft.Dynamics.AX.Framework.OfficeAddin.DynamicsAX">fcf3ebdf-141f-4478-910c-6a8b39b821e5</Id>
    <company xmlns="http://schemas.datacontract.org/2004/07/Microsoft.Dynamics.AX.Framework.OfficeAddin.DynamicsAX" i:nil="true"/>
    <partitionKey xmlns="http://schemas.datacontract.org/2004/07/Microsoft.Dynamics.AX.Framework.OfficeAddin.DynamicsAX" i:nil="true"/>
    <serverName xmlns="http://schemas.datacontract.org/2004/07/Microsoft.Dynamics.AX.Framework.OfficeAddin.DynamicsAX" z:Id="7">OMERPAPPD05001V</serverName>
    <servicePortName xmlns="http://schemas.datacontract.org/2004/07/Microsoft.Dynamics.AX.Framework.OfficeAddin.DynamicsAX" z:Id="8">OBAPort</servicePortName>
    <wsdlPort xmlns="http://schemas.datacontract.org/2004/07/Microsoft.Dynamics.AX.Framework.OfficeAddin.DynamicsAX">8101</wsdlPort>
  </Connection>
  <DataSources xmlns:a="http://schemas.microsoft.com/2003/10/Serialization/Arrays" z:Id="9" z:Type="System.Collections.Generic.Dictionary`2[[System.Guid, mscorlib, Version=4.0.0.0, Culture=neutral, PublicKeyToken=b77a5c561934e089],[Microsoft.Dynamics.AX.Framework.OfficeAddin.Excel.ExcelDataSource, Microsoft.Dynamics.AX.Framework.OfficeAddin.Excel, Version=6.3.0.0, Culture=neutral, PublicKeyToken=31bf3856ad364e35]]" z:Assembly="0">
    <Version xmlns="" z:Id="10" z:Type="System.Int32" z:Assembly="0">0</Version>
    <Comparer xmlns="" z:Id="11" z:Type="System.Collections.Generic.GenericEqualityComparer`1[[System.Guid, mscorlib, Version=4.0.0.0, Culture=neutral, PublicKeyToken=b77a5c561934e089]]" z:Assembly="0"/>
    <HashSize xmlns="" z:Id="12" z:Type="System.Int32" z:Assembly="0">0</HashSize>
  </DataSources>
  <Id>0d1b0db4-49cf-4403-9f58-e26ccc374321</Id>
  <IsDataPaneVisible>false</IsDataPaneVisible>
  <IsDesignMode>false</IsDesignMode>
  <IsUserSpecifiedDataSourcePublishOrder>false</IsUserSpecifiedDataSourcePublishOrder>
  <LegalEntity i:nil="true"/>
  <LookupContexts xmlns:a="http://schemas.microsoft.com/2003/10/Serialization/Arrays" z:Id="13" z:Type="System.Collections.Generic.Dictionary`2[[System.Guid, mscorlib, Version=4.0.0.0, Culture=neutral, PublicKeyToken=b77a5c561934e089],[Microsoft.Dynamics.AX.Framework.OfficeAddin.ILookupContext, Microsoft.Dynamics.AX.Framework.OfficeAddin, Version=6.3.0.0, Culture=neutral, PublicKeyToken=31bf3856ad364e35]]" z:Assembly="0">
    <Version xmlns="" z:Id="14" z:Type="System.Int32" z:Assembly="0">0</Version>
    <Comparer xmlns="" z:Ref="11" i:nil="true"/>
    <HashSize xmlns="" z:Id="15" z:Type="System.Int32" z:Assembly="0">0</HashSize>
  </LookupContexts>
  <LookupTableListObjects xmlns:a="http://schemas.microsoft.com/2003/10/Serialization/Arrays" z:Id="16" z:Type="System.Collections.Generic.Dictionary`2[[System.String, mscorlib, Version=4.0.0.0, Culture=neutral, PublicKeyToken=b77a5c561934e089],[Microsoft.Dynamics.AX.Framework.OfficeAddin.Excel.ListObject, Microsoft.Dynamics.AX.Framework.OfficeAddin.Excel, Version=6.3.0.0, Culture=neutral, PublicKeyToken=31bf3856ad364e35]]" z:Assembly="0">
    <Version xmlns="" z:Id="17" z:Type="System.Int32" z:Assembly="0">0</Version>
    <Comparer xmlns="" z:Id="18" z:Type="System.Collections.Generic.GenericEqualityComparer`1[[System.String, mscorlib, Version=4.0.0.0, Culture=neutral, PublicKeyToken=b77a5c561934e089]]" z:Assembly="0"/>
    <HashSize xmlns="" z:Id="19" z:Type="System.Int32" z:Assembly="0">0</HashSize>
  </LookupTableListObjects>
  <PublishingOptions z:Id="20">
    <ContinueOnError>true</ContinueOnError>
    <PublishMode>Interactive</PublishMode>
    <PublishPath i:nil="true"/>
  </PublishingOptions>
  <WorkbookOptions z:Id="21" z:Type="Microsoft.Dynamics.AX.Framework.OfficeAddin.Excel.WorkbookOptions" z:Assembly="Microsoft.Dynamics.AX.Framework.OfficeAddin.Excel, Version=6.3.0.0, Culture=neutral, PublicKeyToken=31bf3856ad364e35">
    <IsDesignLocked>false</IsDesignLocked>
    <LanguageId z:Id="22">EN-US</LanguageId>
    <RefreshAllDataOnOpen>false</RefreshAllDataOnOpen>
    <RefreshLabelsOnOpen>true</RefreshLabelsOnOpen>
  </WorkbookOptions>
  <Worksheets xmlns:a="http://schemas.microsoft.com/2003/10/Serialization/Arrays" z:Id="23" z:Type="System.Collections.Generic.Dictionary`2[[System.Guid, mscorlib, Version=4.0.0.0, Culture=neutral, PublicKeyToken=b77a5c561934e089],[Microsoft.Dynamics.AX.Framework.OfficeAddin.Excel.Worksheet, Microsoft.Dynamics.AX.Framework.OfficeAddin.Excel, Version=6.3.0.0, Culture=neutral, PublicKeyToken=31bf3856ad364e35]]" z:Assembly="0">
    <Version xmlns="" z:Id="24" z:Type="System.Int32" z:Assembly="0">0</Version>
    <Comparer xmlns="" z:Id="25" z:Type="System.Collections.Generic.GenericEqualityComparer`1[[System.Guid, mscorlib, Version=4.0.0.0, Culture=neutral, PublicKeyToken=b77a5c561934e089]]" z:Assembly="0"/>
    <HashSize xmlns="" z:Id="26" z:Type="System.Int32" z:Assembly="0">0</HashSize>
  </Worksheets>
  <dataSourcePublishOrder xmlns:a="http://schemas.datacontract.org/2004/07/Microsoft.Dynamics.AX.Framework.OfficeAddin" i:nil="true"/>
  <publishingStatusRetrievalData z:Id="27">
    <ExcelDataSourcePublishLogs xmlns:a="http://schemas.microsoft.com/2003/10/Serialization/Arrays" z:Id="28" z:Type="System.Collections.Generic.Dictionary`2[[System.Guid, mscorlib, Version=4.0.0.0, Culture=neutral, PublicKeyToken=b77a5c561934e089],[Microsoft.Dynamics.AX.Framework.OfficeAddin.Excel.ExcelDataSourcePublishLog, Microsoft.Dynamics.AX.Framework.OfficeAddin.Excel, Version=6.3.0.0, Culture=neutral, PublicKeyToken=31bf3856ad364e35]]" z:Assembly="0">
      <Version xmlns="" z:Id="29" z:Type="System.Int32" z:Assembly="0">0</Version>
      <Comparer xmlns="" z:Ref="11" i:nil="true"/>
      <HashSize xmlns="" z:Id="30" z:Type="System.Int32" z:Assembly="0">0</HashSize>
    </ExcelDataSourcePublishLogs>
  </publishingStatusRetrievalData>
</Workbook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911DFAEAF6B94BB0E025D1DD957062" ma:contentTypeVersion="0" ma:contentTypeDescription="Create a new document." ma:contentTypeScope="" ma:versionID="119ec3a48a4b2cdaa94949c16e616263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067e30616eeadeb776f014c5fbcfd813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30C155C-C91E-4472-A722-E1588FC8EE51}">
  <ds:schemaRefs>
    <ds:schemaRef ds:uri="http://schemas.datacontract.org/2004/07/Microsoft.Dynamics.AX.Framework.OfficeAddin.XmlParts"/>
    <ds:schemaRef ds:uri="http://schemas.datacontract.org/2004/07/System"/>
  </ds:schemaRefs>
</ds:datastoreItem>
</file>

<file path=customXml/itemProps2.xml><?xml version="1.0" encoding="utf-8"?>
<ds:datastoreItem xmlns:ds="http://schemas.openxmlformats.org/officeDocument/2006/customXml" ds:itemID="{FE504A24-E940-4054-B68E-DCEA3C90599A}">
  <ds:schemaRefs>
    <ds:schemaRef ds:uri="http://schemas.datacontract.org/2004/07/Microsoft.Dynamics.AX.Framework.OfficeAddin.Excel"/>
    <ds:schemaRef ds:uri="http://schemas.microsoft.com/2003/10/Serialization/"/>
    <ds:schemaRef ds:uri="http://schemas.microsoft.com/2003/10/Serialization/Arrays"/>
    <ds:schemaRef ds:uri=""/>
    <ds:schemaRef ds:uri="http://schemas.datacontract.org/2004/07/Microsoft.Dynamics.AX.Framework.OfficeAddin.DynamicsAX"/>
    <ds:schemaRef ds:uri="http://schemas.datacontract.org/2004/07/Microsoft.Dynamics.AX.Framework.OfficeAddin"/>
  </ds:schemaRefs>
</ds:datastoreItem>
</file>

<file path=customXml/itemProps3.xml><?xml version="1.0" encoding="utf-8"?>
<ds:datastoreItem xmlns:ds="http://schemas.openxmlformats.org/officeDocument/2006/customXml" ds:itemID="{5CF24BCB-3512-4AE2-8258-7F5E9C4FF4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F11719C9-D3EC-4C50-9ADD-48DB04DC9F00}">
  <ds:schemaRefs>
    <ds:schemaRef ds:uri="http://purl.org/dc/terms/"/>
    <ds:schemaRef ds:uri="http://schemas.microsoft.com/office/2006/documentManagement/types"/>
    <ds:schemaRef ds:uri="http://purl.org/dc/elements/1.1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5.xml><?xml version="1.0" encoding="utf-8"?>
<ds:datastoreItem xmlns:ds="http://schemas.openxmlformats.org/officeDocument/2006/customXml" ds:itemID="{14B7E022-9E51-4833-83BD-97D1BABEE82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33</vt:i4>
      </vt:variant>
    </vt:vector>
  </HeadingPairs>
  <TitlesOfParts>
    <vt:vector size="37" baseType="lpstr">
      <vt:lpstr>Bid Tab (F&amp;B Ops and CatMan) 10</vt:lpstr>
      <vt:lpstr>Header</vt:lpstr>
      <vt:lpstr>Approvers</vt:lpstr>
      <vt:lpstr>Reference</vt:lpstr>
      <vt:lpstr>_01_</vt:lpstr>
      <vt:lpstr>AM110000_</vt:lpstr>
      <vt:lpstr>COSTCENTER</vt:lpstr>
      <vt:lpstr>CP110000_</vt:lpstr>
      <vt:lpstr>CT110000_</vt:lpstr>
      <vt:lpstr>DEPARTMENT</vt:lpstr>
      <vt:lpstr>DIVISION</vt:lpstr>
      <vt:lpstr>GM110000_</vt:lpstr>
      <vt:lpstr>GM210000_</vt:lpstr>
      <vt:lpstr>GM410000_</vt:lpstr>
      <vt:lpstr>GM510000_</vt:lpstr>
      <vt:lpstr>GM610000_</vt:lpstr>
      <vt:lpstr>GM710000_</vt:lpstr>
      <vt:lpstr>GM810000_</vt:lpstr>
      <vt:lpstr>GM910000_</vt:lpstr>
      <vt:lpstr>HS110000_</vt:lpstr>
      <vt:lpstr>HS210000_</vt:lpstr>
      <vt:lpstr>HS310000_</vt:lpstr>
      <vt:lpstr>HS810000_</vt:lpstr>
      <vt:lpstr>IA110000_</vt:lpstr>
      <vt:lpstr>MULTI___BU</vt:lpstr>
      <vt:lpstr>'Bid Tab (F&amp;B Ops and CatMan) 10'!Print_Area</vt:lpstr>
      <vt:lpstr>'Bid Tab (F&amp;B Ops and CatMan) 10'!Print_Titles</vt:lpstr>
      <vt:lpstr>SH110000_</vt:lpstr>
      <vt:lpstr>SH110001_</vt:lpstr>
      <vt:lpstr>SH112000_</vt:lpstr>
      <vt:lpstr>SH113000_</vt:lpstr>
      <vt:lpstr>SH210000_</vt:lpstr>
      <vt:lpstr>SH310000_</vt:lpstr>
      <vt:lpstr>SH410000_</vt:lpstr>
      <vt:lpstr>SH510000_</vt:lpstr>
      <vt:lpstr>SH810000_</vt:lpstr>
      <vt:lpstr>SH910000_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Jeric Conway Miranda</dc:creator>
  <cp:lastModifiedBy>Bianca Lois Paras</cp:lastModifiedBy>
  <cp:lastPrinted>2024-05-14T09:24:25Z</cp:lastPrinted>
  <dcterms:created xsi:type="dcterms:W3CDTF">2023-01-30T08:55:45Z</dcterms:created>
  <dcterms:modified xsi:type="dcterms:W3CDTF">2024-06-27T01:45:47Z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0x010100D0911DFAEAF6B94BB0E025D1DD957062</vt:lpwstr>
  </property>
  <property fmtid="{D5CDD505-2E9C-101B-9397-08002B2CF9AE}" pid="3" name="Microsoft Dynamics AX Template">
    <vt:lpwstr>0d1b0db4-49cf-4403-9f58-e26ccc374321</vt:lpwstr>
  </property>
  <property fmtid="{D5CDD505-2E9C-101B-9397-08002B2CF9AE}" pid="4" name="Microsoft Dynamics AX Template ID">
    <vt:lpwstr/>
  </property>
  <property fmtid="{D5CDD505-2E9C-101B-9397-08002B2CF9AE}" pid="5" name="Microsoft Dynamics AX Language">
    <vt:lpwstr/>
  </property>
  <property fmtid="{D5CDD505-2E9C-101B-9397-08002B2CF9AE}" pid="6" name="Microsoft Dynamics AX Root Table">
    <vt:lpwstr/>
  </property>
  <property fmtid="{D5CDD505-2E9C-101B-9397-08002B2CF9AE}" pid="7" name="Microsoft Dynamics AX Template Instance ID">
    <vt:lpwstr>6c7593c0-e7f9-4bc6-9d7a-712aca7518c9</vt:lpwstr>
  </property>
</Properties>
</file>